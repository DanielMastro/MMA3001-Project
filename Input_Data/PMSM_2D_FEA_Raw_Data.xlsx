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ma\Downloads\"/>
    </mc:Choice>
  </mc:AlternateContent>
  <xr:revisionPtr revIDLastSave="0" documentId="13_ncr:1_{A3B4270E-1745-4A6B-900C-FC804C51C71B}" xr6:coauthVersionLast="47" xr6:coauthVersionMax="47" xr10:uidLastSave="{00000000-0000-0000-0000-000000000000}"/>
  <bookViews>
    <workbookView xWindow="-120" yWindow="-120" windowWidth="38640" windowHeight="21120" tabRatio="645" activeTab="2" xr2:uid="{00000000-000D-0000-FFFF-FFFF00000000}"/>
  </bookViews>
  <sheets>
    <sheet name="Overview" sheetId="1" r:id="rId1"/>
    <sheet name="Raw_Data" sheetId="2" r:id="rId2"/>
    <sheet name="Step1_Features" sheetId="3" r:id="rId3"/>
    <sheet name="Step2_Ld_XtX" sheetId="4" r:id="rId4"/>
    <sheet name="Step3_Ld_Coefs" sheetId="5" r:id="rId5"/>
    <sheet name="Step4_Ld_Preds" sheetId="6" r:id="rId6"/>
    <sheet name="Step5_Ld_Formula" sheetId="7" r:id="rId7"/>
    <sheet name="Step2_Lq_XtX" sheetId="8" r:id="rId8"/>
    <sheet name="Step3_Lq_Coefs" sheetId="9" r:id="rId9"/>
    <sheet name="Step4_Lq_Preds" sheetId="10" r:id="rId10"/>
    <sheet name="Step5_Lq_Formul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11" l="1"/>
  <c r="D6" i="7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D79" i="10"/>
  <c r="C79" i="10"/>
  <c r="B79" i="10"/>
  <c r="D78" i="10"/>
  <c r="C78" i="10"/>
  <c r="B78" i="10"/>
  <c r="D77" i="10"/>
  <c r="C77" i="10"/>
  <c r="B77" i="10"/>
  <c r="D76" i="10"/>
  <c r="C76" i="10"/>
  <c r="B76" i="10"/>
  <c r="D75" i="10"/>
  <c r="C75" i="10"/>
  <c r="B75" i="10"/>
  <c r="D74" i="10"/>
  <c r="C74" i="10"/>
  <c r="B74" i="10"/>
  <c r="D73" i="10"/>
  <c r="C73" i="10"/>
  <c r="B73" i="10"/>
  <c r="D72" i="10"/>
  <c r="C72" i="10"/>
  <c r="B72" i="10"/>
  <c r="D71" i="10"/>
  <c r="C71" i="10"/>
  <c r="B71" i="10"/>
  <c r="D70" i="10"/>
  <c r="C70" i="10"/>
  <c r="B70" i="10"/>
  <c r="D69" i="10"/>
  <c r="C69" i="10"/>
  <c r="B69" i="10"/>
  <c r="D68" i="10"/>
  <c r="C68" i="10"/>
  <c r="B68" i="10"/>
  <c r="D67" i="10"/>
  <c r="C67" i="10"/>
  <c r="B67" i="10"/>
  <c r="D66" i="10"/>
  <c r="C66" i="10"/>
  <c r="B66" i="10"/>
  <c r="D65" i="10"/>
  <c r="C65" i="10"/>
  <c r="B65" i="10"/>
  <c r="D64" i="10"/>
  <c r="C64" i="10"/>
  <c r="B64" i="10"/>
  <c r="D63" i="10"/>
  <c r="C63" i="10"/>
  <c r="B63" i="10"/>
  <c r="D62" i="10"/>
  <c r="C62" i="10"/>
  <c r="B62" i="10"/>
  <c r="D61" i="10"/>
  <c r="C61" i="10"/>
  <c r="B61" i="10"/>
  <c r="D60" i="10"/>
  <c r="C60" i="10"/>
  <c r="B60" i="10"/>
  <c r="D59" i="10"/>
  <c r="C59" i="10"/>
  <c r="B59" i="10"/>
  <c r="D58" i="10"/>
  <c r="C58" i="10"/>
  <c r="B58" i="10"/>
  <c r="D57" i="10"/>
  <c r="C57" i="10"/>
  <c r="B57" i="10"/>
  <c r="D56" i="10"/>
  <c r="C56" i="10"/>
  <c r="B56" i="10"/>
  <c r="D55" i="10"/>
  <c r="C55" i="10"/>
  <c r="B55" i="10"/>
  <c r="D54" i="10"/>
  <c r="C54" i="10"/>
  <c r="B54" i="10"/>
  <c r="D53" i="10"/>
  <c r="C53" i="10"/>
  <c r="B53" i="10"/>
  <c r="D52" i="10"/>
  <c r="C52" i="10"/>
  <c r="B52" i="10"/>
  <c r="D51" i="10"/>
  <c r="C51" i="10"/>
  <c r="B51" i="10"/>
  <c r="D50" i="10"/>
  <c r="C50" i="10"/>
  <c r="B50" i="10"/>
  <c r="D49" i="10"/>
  <c r="C49" i="10"/>
  <c r="B49" i="10"/>
  <c r="D48" i="10"/>
  <c r="C48" i="10"/>
  <c r="B48" i="10"/>
  <c r="D47" i="10"/>
  <c r="C47" i="10"/>
  <c r="B47" i="10"/>
  <c r="D46" i="10"/>
  <c r="C46" i="10"/>
  <c r="B46" i="10"/>
  <c r="D45" i="10"/>
  <c r="C45" i="10"/>
  <c r="B45" i="10"/>
  <c r="D44" i="10"/>
  <c r="C44" i="10"/>
  <c r="B44" i="10"/>
  <c r="D43" i="10"/>
  <c r="C43" i="10"/>
  <c r="B43" i="10"/>
  <c r="D42" i="10"/>
  <c r="C42" i="10"/>
  <c r="B42" i="10"/>
  <c r="D41" i="10"/>
  <c r="C41" i="10"/>
  <c r="B41" i="10"/>
  <c r="D40" i="10"/>
  <c r="C40" i="10"/>
  <c r="B40" i="10"/>
  <c r="D39" i="10"/>
  <c r="C39" i="10"/>
  <c r="B39" i="10"/>
  <c r="D38" i="10"/>
  <c r="C38" i="10"/>
  <c r="B38" i="10"/>
  <c r="D37" i="10"/>
  <c r="C37" i="10"/>
  <c r="B37" i="10"/>
  <c r="D36" i="10"/>
  <c r="C36" i="10"/>
  <c r="B36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D5" i="10"/>
  <c r="C5" i="10"/>
  <c r="B5" i="10"/>
  <c r="D4" i="10"/>
  <c r="C4" i="10"/>
  <c r="B4" i="10"/>
  <c r="D3" i="10"/>
  <c r="C3" i="10"/>
  <c r="B3" i="10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M80" i="3"/>
  <c r="D80" i="3"/>
  <c r="C80" i="3"/>
  <c r="R80" i="3" s="1"/>
  <c r="B80" i="3"/>
  <c r="R79" i="3"/>
  <c r="L79" i="3"/>
  <c r="J79" i="3"/>
  <c r="I79" i="3"/>
  <c r="D79" i="3"/>
  <c r="C79" i="3"/>
  <c r="B79" i="3"/>
  <c r="R78" i="3"/>
  <c r="P78" i="3"/>
  <c r="K78" i="3"/>
  <c r="G78" i="3"/>
  <c r="D78" i="3"/>
  <c r="C78" i="3"/>
  <c r="I78" i="3" s="1"/>
  <c r="B78" i="3"/>
  <c r="H78" i="3" s="1"/>
  <c r="Q77" i="3"/>
  <c r="P77" i="3"/>
  <c r="O77" i="3"/>
  <c r="N77" i="3"/>
  <c r="M77" i="3"/>
  <c r="K77" i="3"/>
  <c r="I77" i="3"/>
  <c r="H77" i="3"/>
  <c r="G77" i="3"/>
  <c r="F77" i="3"/>
  <c r="E77" i="3"/>
  <c r="D77" i="3"/>
  <c r="C77" i="3"/>
  <c r="R77" i="3" s="1"/>
  <c r="B77" i="3"/>
  <c r="J77" i="3" s="1"/>
  <c r="R76" i="3"/>
  <c r="P76" i="3"/>
  <c r="O76" i="3"/>
  <c r="M76" i="3"/>
  <c r="I76" i="3"/>
  <c r="G76" i="3"/>
  <c r="F76" i="3"/>
  <c r="D76" i="3"/>
  <c r="C76" i="3"/>
  <c r="B76" i="3"/>
  <c r="K76" i="3" s="1"/>
  <c r="R75" i="3"/>
  <c r="P75" i="3"/>
  <c r="O75" i="3"/>
  <c r="M75" i="3"/>
  <c r="I75" i="3"/>
  <c r="G75" i="3"/>
  <c r="F75" i="3"/>
  <c r="D75" i="3"/>
  <c r="C75" i="3"/>
  <c r="B75" i="3"/>
  <c r="L75" i="3" s="1"/>
  <c r="R74" i="3"/>
  <c r="P74" i="3"/>
  <c r="O74" i="3"/>
  <c r="J74" i="3"/>
  <c r="I74" i="3"/>
  <c r="G74" i="3"/>
  <c r="F74" i="3"/>
  <c r="D74" i="3"/>
  <c r="C74" i="3"/>
  <c r="M74" i="3" s="1"/>
  <c r="B74" i="3"/>
  <c r="E74" i="3" s="1"/>
  <c r="R73" i="3"/>
  <c r="Q73" i="3"/>
  <c r="O73" i="3"/>
  <c r="M73" i="3"/>
  <c r="I73" i="3"/>
  <c r="H73" i="3"/>
  <c r="E73" i="3"/>
  <c r="D73" i="3"/>
  <c r="C73" i="3"/>
  <c r="F73" i="3" s="1"/>
  <c r="B73" i="3"/>
  <c r="N73" i="3" s="1"/>
  <c r="N72" i="3"/>
  <c r="M72" i="3"/>
  <c r="L72" i="3"/>
  <c r="J72" i="3"/>
  <c r="F72" i="3"/>
  <c r="E72" i="3"/>
  <c r="D72" i="3"/>
  <c r="C72" i="3"/>
  <c r="B72" i="3"/>
  <c r="N71" i="3"/>
  <c r="L71" i="3"/>
  <c r="K71" i="3"/>
  <c r="E71" i="3"/>
  <c r="D71" i="3"/>
  <c r="C71" i="3"/>
  <c r="B71" i="3"/>
  <c r="M70" i="3"/>
  <c r="D70" i="3"/>
  <c r="C70" i="3"/>
  <c r="I70" i="3" s="1"/>
  <c r="B70" i="3"/>
  <c r="N69" i="3"/>
  <c r="G69" i="3"/>
  <c r="E69" i="3"/>
  <c r="D69" i="3"/>
  <c r="C69" i="3"/>
  <c r="B69" i="3"/>
  <c r="J69" i="3" s="1"/>
  <c r="R68" i="3"/>
  <c r="Q68" i="3"/>
  <c r="M68" i="3"/>
  <c r="L68" i="3"/>
  <c r="I68" i="3"/>
  <c r="H68" i="3"/>
  <c r="F68" i="3"/>
  <c r="D68" i="3"/>
  <c r="C68" i="3"/>
  <c r="B68" i="3"/>
  <c r="K68" i="3" s="1"/>
  <c r="R67" i="3"/>
  <c r="Q67" i="3"/>
  <c r="I67" i="3"/>
  <c r="H67" i="3"/>
  <c r="D67" i="3"/>
  <c r="C67" i="3"/>
  <c r="K67" i="3" s="1"/>
  <c r="B67" i="3"/>
  <c r="R66" i="3"/>
  <c r="Q66" i="3"/>
  <c r="I66" i="3"/>
  <c r="H66" i="3"/>
  <c r="D66" i="3"/>
  <c r="C66" i="3"/>
  <c r="M66" i="3" s="1"/>
  <c r="B66" i="3"/>
  <c r="R65" i="3"/>
  <c r="Q65" i="3"/>
  <c r="P65" i="3"/>
  <c r="M65" i="3"/>
  <c r="J65" i="3"/>
  <c r="I65" i="3"/>
  <c r="H65" i="3"/>
  <c r="G65" i="3"/>
  <c r="D65" i="3"/>
  <c r="C65" i="3"/>
  <c r="F65" i="3" s="1"/>
  <c r="B65" i="3"/>
  <c r="N65" i="3" s="1"/>
  <c r="R64" i="3"/>
  <c r="P64" i="3"/>
  <c r="H64" i="3"/>
  <c r="G64" i="3"/>
  <c r="D64" i="3"/>
  <c r="C64" i="3"/>
  <c r="F64" i="3" s="1"/>
  <c r="B64" i="3"/>
  <c r="Q63" i="3"/>
  <c r="K63" i="3"/>
  <c r="I63" i="3"/>
  <c r="H63" i="3"/>
  <c r="D63" i="3"/>
  <c r="C63" i="3"/>
  <c r="B63" i="3"/>
  <c r="O63" i="3" s="1"/>
  <c r="R62" i="3"/>
  <c r="M62" i="3"/>
  <c r="L62" i="3"/>
  <c r="J62" i="3"/>
  <c r="I62" i="3"/>
  <c r="D62" i="3"/>
  <c r="C62" i="3"/>
  <c r="F62" i="3" s="1"/>
  <c r="B62" i="3"/>
  <c r="D61" i="3"/>
  <c r="C61" i="3"/>
  <c r="B61" i="3"/>
  <c r="N60" i="3"/>
  <c r="G60" i="3"/>
  <c r="E60" i="3"/>
  <c r="D60" i="3"/>
  <c r="C60" i="3"/>
  <c r="B60" i="3"/>
  <c r="J60" i="3" s="1"/>
  <c r="R59" i="3"/>
  <c r="P59" i="3"/>
  <c r="O59" i="3"/>
  <c r="N59" i="3"/>
  <c r="M59" i="3"/>
  <c r="L59" i="3"/>
  <c r="I59" i="3"/>
  <c r="H59" i="3"/>
  <c r="G59" i="3"/>
  <c r="F59" i="3"/>
  <c r="E59" i="3"/>
  <c r="D59" i="3"/>
  <c r="C59" i="3"/>
  <c r="B59" i="3"/>
  <c r="K59" i="3" s="1"/>
  <c r="Q58" i="3"/>
  <c r="P58" i="3"/>
  <c r="O58" i="3"/>
  <c r="N58" i="3"/>
  <c r="M58" i="3"/>
  <c r="I58" i="3"/>
  <c r="H58" i="3"/>
  <c r="G58" i="3"/>
  <c r="F58" i="3"/>
  <c r="E58" i="3"/>
  <c r="D58" i="3"/>
  <c r="C58" i="3"/>
  <c r="K58" i="3" s="1"/>
  <c r="B58" i="3"/>
  <c r="L58" i="3" s="1"/>
  <c r="R57" i="3"/>
  <c r="Q57" i="3"/>
  <c r="O57" i="3"/>
  <c r="N57" i="3"/>
  <c r="I57" i="3"/>
  <c r="G57" i="3"/>
  <c r="F57" i="3"/>
  <c r="D57" i="3"/>
  <c r="C57" i="3"/>
  <c r="M57" i="3" s="1"/>
  <c r="B57" i="3"/>
  <c r="E57" i="3" s="1"/>
  <c r="R56" i="3"/>
  <c r="P56" i="3"/>
  <c r="H56" i="3"/>
  <c r="D56" i="3"/>
  <c r="C56" i="3"/>
  <c r="F56" i="3" s="1"/>
  <c r="B56" i="3"/>
  <c r="Q55" i="3"/>
  <c r="K55" i="3"/>
  <c r="I55" i="3"/>
  <c r="H55" i="3"/>
  <c r="D55" i="3"/>
  <c r="C55" i="3"/>
  <c r="B55" i="3"/>
  <c r="O55" i="3" s="1"/>
  <c r="R54" i="3"/>
  <c r="M54" i="3"/>
  <c r="L54" i="3"/>
  <c r="J54" i="3"/>
  <c r="I54" i="3"/>
  <c r="D54" i="3"/>
  <c r="C54" i="3"/>
  <c r="F54" i="3" s="1"/>
  <c r="B54" i="3"/>
  <c r="J53" i="3"/>
  <c r="E53" i="3"/>
  <c r="D53" i="3"/>
  <c r="C53" i="3"/>
  <c r="B53" i="3"/>
  <c r="N52" i="3"/>
  <c r="G52" i="3"/>
  <c r="E52" i="3"/>
  <c r="D52" i="3"/>
  <c r="C52" i="3"/>
  <c r="B52" i="3"/>
  <c r="J52" i="3" s="1"/>
  <c r="R51" i="3"/>
  <c r="P51" i="3"/>
  <c r="O51" i="3"/>
  <c r="N51" i="3"/>
  <c r="M51" i="3"/>
  <c r="L51" i="3"/>
  <c r="I51" i="3"/>
  <c r="H51" i="3"/>
  <c r="G51" i="3"/>
  <c r="F51" i="3"/>
  <c r="E51" i="3"/>
  <c r="D51" i="3"/>
  <c r="C51" i="3"/>
  <c r="B51" i="3"/>
  <c r="K51" i="3" s="1"/>
  <c r="Q50" i="3"/>
  <c r="P50" i="3"/>
  <c r="O50" i="3"/>
  <c r="N50" i="3"/>
  <c r="M50" i="3"/>
  <c r="I50" i="3"/>
  <c r="H50" i="3"/>
  <c r="G50" i="3"/>
  <c r="F50" i="3"/>
  <c r="E50" i="3"/>
  <c r="D50" i="3"/>
  <c r="C50" i="3"/>
  <c r="K50" i="3" s="1"/>
  <c r="B50" i="3"/>
  <c r="L50" i="3" s="1"/>
  <c r="R49" i="3"/>
  <c r="I49" i="3"/>
  <c r="F49" i="3"/>
  <c r="D49" i="3"/>
  <c r="C49" i="3"/>
  <c r="M49" i="3" s="1"/>
  <c r="B49" i="3"/>
  <c r="O49" i="3" s="1"/>
  <c r="K48" i="3"/>
  <c r="J48" i="3"/>
  <c r="G48" i="3"/>
  <c r="D48" i="3"/>
  <c r="C48" i="3"/>
  <c r="R48" i="3" s="1"/>
  <c r="B48" i="3"/>
  <c r="P47" i="3"/>
  <c r="L47" i="3"/>
  <c r="K47" i="3"/>
  <c r="I47" i="3"/>
  <c r="H47" i="3"/>
  <c r="D47" i="3"/>
  <c r="C47" i="3"/>
  <c r="B47" i="3"/>
  <c r="M46" i="3"/>
  <c r="D46" i="3"/>
  <c r="C46" i="3"/>
  <c r="R46" i="3" s="1"/>
  <c r="B46" i="3"/>
  <c r="Q46" i="3" s="1"/>
  <c r="M45" i="3"/>
  <c r="J45" i="3"/>
  <c r="D45" i="3"/>
  <c r="C45" i="3"/>
  <c r="B45" i="3"/>
  <c r="E45" i="3" s="1"/>
  <c r="N44" i="3"/>
  <c r="L44" i="3"/>
  <c r="G44" i="3"/>
  <c r="E44" i="3"/>
  <c r="D44" i="3"/>
  <c r="C44" i="3"/>
  <c r="M44" i="3" s="1"/>
  <c r="B44" i="3"/>
  <c r="J44" i="3" s="1"/>
  <c r="R43" i="3"/>
  <c r="P43" i="3"/>
  <c r="M43" i="3"/>
  <c r="L43" i="3"/>
  <c r="J43" i="3"/>
  <c r="I43" i="3"/>
  <c r="G43" i="3"/>
  <c r="F43" i="3"/>
  <c r="D43" i="3"/>
  <c r="C43" i="3"/>
  <c r="B43" i="3"/>
  <c r="Q42" i="3"/>
  <c r="P42" i="3"/>
  <c r="O42" i="3"/>
  <c r="N42" i="3"/>
  <c r="K42" i="3"/>
  <c r="I42" i="3"/>
  <c r="H42" i="3"/>
  <c r="G42" i="3"/>
  <c r="F42" i="3"/>
  <c r="E42" i="3"/>
  <c r="D42" i="3"/>
  <c r="C42" i="3"/>
  <c r="R42" i="3" s="1"/>
  <c r="B42" i="3"/>
  <c r="L42" i="3" s="1"/>
  <c r="R41" i="3"/>
  <c r="L41" i="3"/>
  <c r="I41" i="3"/>
  <c r="H41" i="3"/>
  <c r="G41" i="3"/>
  <c r="F41" i="3"/>
  <c r="D41" i="3"/>
  <c r="C41" i="3"/>
  <c r="M41" i="3" s="1"/>
  <c r="B41" i="3"/>
  <c r="O40" i="3"/>
  <c r="J40" i="3"/>
  <c r="I40" i="3"/>
  <c r="G40" i="3"/>
  <c r="E40" i="3"/>
  <c r="D40" i="3"/>
  <c r="C40" i="3"/>
  <c r="M40" i="3" s="1"/>
  <c r="B40" i="3"/>
  <c r="F39" i="3"/>
  <c r="D39" i="3"/>
  <c r="C39" i="3"/>
  <c r="B39" i="3"/>
  <c r="L38" i="3"/>
  <c r="J38" i="3"/>
  <c r="I38" i="3"/>
  <c r="G38" i="3"/>
  <c r="E38" i="3"/>
  <c r="D38" i="3"/>
  <c r="C38" i="3"/>
  <c r="F38" i="3" s="1"/>
  <c r="B38" i="3"/>
  <c r="J37" i="3"/>
  <c r="D37" i="3"/>
  <c r="C37" i="3"/>
  <c r="M37" i="3" s="1"/>
  <c r="B37" i="3"/>
  <c r="L37" i="3" s="1"/>
  <c r="Q36" i="3"/>
  <c r="O36" i="3"/>
  <c r="N36" i="3"/>
  <c r="L36" i="3"/>
  <c r="K36" i="3"/>
  <c r="I36" i="3"/>
  <c r="G36" i="3"/>
  <c r="F36" i="3"/>
  <c r="E36" i="3"/>
  <c r="D36" i="3"/>
  <c r="C36" i="3"/>
  <c r="B36" i="3"/>
  <c r="J36" i="3" s="1"/>
  <c r="R35" i="3"/>
  <c r="P35" i="3"/>
  <c r="O35" i="3"/>
  <c r="N35" i="3"/>
  <c r="M35" i="3"/>
  <c r="L35" i="3"/>
  <c r="I35" i="3"/>
  <c r="H35" i="3"/>
  <c r="G35" i="3"/>
  <c r="F35" i="3"/>
  <c r="E35" i="3"/>
  <c r="D35" i="3"/>
  <c r="C35" i="3"/>
  <c r="B35" i="3"/>
  <c r="Q34" i="3"/>
  <c r="J34" i="3"/>
  <c r="G34" i="3"/>
  <c r="F34" i="3"/>
  <c r="D34" i="3"/>
  <c r="C34" i="3"/>
  <c r="B34" i="3"/>
  <c r="L34" i="3" s="1"/>
  <c r="F33" i="3"/>
  <c r="D33" i="3"/>
  <c r="C33" i="3"/>
  <c r="M33" i="3" s="1"/>
  <c r="B33" i="3"/>
  <c r="N32" i="3"/>
  <c r="J32" i="3"/>
  <c r="H32" i="3"/>
  <c r="D32" i="3"/>
  <c r="C32" i="3"/>
  <c r="I32" i="3" s="1"/>
  <c r="B32" i="3"/>
  <c r="Q31" i="3"/>
  <c r="P31" i="3"/>
  <c r="N31" i="3"/>
  <c r="K31" i="3"/>
  <c r="I31" i="3"/>
  <c r="H31" i="3"/>
  <c r="G31" i="3"/>
  <c r="F31" i="3"/>
  <c r="E31" i="3"/>
  <c r="D31" i="3"/>
  <c r="C31" i="3"/>
  <c r="B31" i="3"/>
  <c r="J31" i="3" s="1"/>
  <c r="R30" i="3"/>
  <c r="Q30" i="3"/>
  <c r="P30" i="3"/>
  <c r="O30" i="3"/>
  <c r="M30" i="3"/>
  <c r="I30" i="3"/>
  <c r="H30" i="3"/>
  <c r="G30" i="3"/>
  <c r="F30" i="3"/>
  <c r="E30" i="3"/>
  <c r="D30" i="3"/>
  <c r="C30" i="3"/>
  <c r="B30" i="3"/>
  <c r="N29" i="3"/>
  <c r="J29" i="3"/>
  <c r="E29" i="3"/>
  <c r="D29" i="3"/>
  <c r="C29" i="3"/>
  <c r="Q29" i="3" s="1"/>
  <c r="B29" i="3"/>
  <c r="N28" i="3"/>
  <c r="J28" i="3"/>
  <c r="D28" i="3"/>
  <c r="C28" i="3"/>
  <c r="M28" i="3" s="1"/>
  <c r="B28" i="3"/>
  <c r="R27" i="3"/>
  <c r="P27" i="3"/>
  <c r="K27" i="3"/>
  <c r="J27" i="3"/>
  <c r="H27" i="3"/>
  <c r="G27" i="3"/>
  <c r="E27" i="3"/>
  <c r="D27" i="3"/>
  <c r="C27" i="3"/>
  <c r="B27" i="3"/>
  <c r="P26" i="3"/>
  <c r="N26" i="3"/>
  <c r="L26" i="3"/>
  <c r="E26" i="3"/>
  <c r="D26" i="3"/>
  <c r="C26" i="3"/>
  <c r="R26" i="3" s="1"/>
  <c r="B26" i="3"/>
  <c r="O26" i="3" s="1"/>
  <c r="R25" i="3"/>
  <c r="N25" i="3"/>
  <c r="M25" i="3"/>
  <c r="J25" i="3"/>
  <c r="I25" i="3"/>
  <c r="F25" i="3"/>
  <c r="D25" i="3"/>
  <c r="C25" i="3"/>
  <c r="B25" i="3"/>
  <c r="R24" i="3"/>
  <c r="P24" i="3"/>
  <c r="J24" i="3"/>
  <c r="G24" i="3"/>
  <c r="F24" i="3"/>
  <c r="D24" i="3"/>
  <c r="C24" i="3"/>
  <c r="I24" i="3" s="1"/>
  <c r="B24" i="3"/>
  <c r="H24" i="3" s="1"/>
  <c r="Q23" i="3"/>
  <c r="P23" i="3"/>
  <c r="O23" i="3"/>
  <c r="N23" i="3"/>
  <c r="K23" i="3"/>
  <c r="I23" i="3"/>
  <c r="H23" i="3"/>
  <c r="G23" i="3"/>
  <c r="F23" i="3"/>
  <c r="E23" i="3"/>
  <c r="D23" i="3"/>
  <c r="C23" i="3"/>
  <c r="B23" i="3"/>
  <c r="J23" i="3" s="1"/>
  <c r="R22" i="3"/>
  <c r="Q22" i="3"/>
  <c r="P22" i="3"/>
  <c r="O22" i="3"/>
  <c r="M22" i="3"/>
  <c r="L22" i="3"/>
  <c r="I22" i="3"/>
  <c r="H22" i="3"/>
  <c r="G22" i="3"/>
  <c r="F22" i="3"/>
  <c r="E22" i="3"/>
  <c r="D22" i="3"/>
  <c r="C22" i="3"/>
  <c r="B22" i="3"/>
  <c r="N21" i="3"/>
  <c r="J21" i="3"/>
  <c r="D21" i="3"/>
  <c r="C21" i="3"/>
  <c r="I21" i="3" s="1"/>
  <c r="B21" i="3"/>
  <c r="R20" i="3"/>
  <c r="K20" i="3"/>
  <c r="I20" i="3"/>
  <c r="G20" i="3"/>
  <c r="D20" i="3"/>
  <c r="C20" i="3"/>
  <c r="M20" i="3" s="1"/>
  <c r="B20" i="3"/>
  <c r="J20" i="3" s="1"/>
  <c r="J19" i="3"/>
  <c r="G19" i="3"/>
  <c r="E19" i="3"/>
  <c r="D19" i="3"/>
  <c r="C19" i="3"/>
  <c r="O19" i="3" s="1"/>
  <c r="B19" i="3"/>
  <c r="N18" i="3"/>
  <c r="I18" i="3"/>
  <c r="E18" i="3"/>
  <c r="D18" i="3"/>
  <c r="C18" i="3"/>
  <c r="R18" i="3" s="1"/>
  <c r="B18" i="3"/>
  <c r="R17" i="3"/>
  <c r="Q17" i="3"/>
  <c r="M17" i="3"/>
  <c r="J17" i="3"/>
  <c r="I17" i="3"/>
  <c r="G17" i="3"/>
  <c r="F17" i="3"/>
  <c r="D17" i="3"/>
  <c r="C17" i="3"/>
  <c r="B17" i="3"/>
  <c r="R16" i="3"/>
  <c r="P16" i="3"/>
  <c r="O16" i="3"/>
  <c r="N16" i="3"/>
  <c r="H16" i="3"/>
  <c r="G16" i="3"/>
  <c r="F16" i="3"/>
  <c r="E16" i="3"/>
  <c r="D16" i="3"/>
  <c r="C16" i="3"/>
  <c r="I16" i="3" s="1"/>
  <c r="B16" i="3"/>
  <c r="J16" i="3" s="1"/>
  <c r="N15" i="3"/>
  <c r="G15" i="3"/>
  <c r="E15" i="3"/>
  <c r="D15" i="3"/>
  <c r="C15" i="3"/>
  <c r="R15" i="3" s="1"/>
  <c r="B15" i="3"/>
  <c r="J15" i="3" s="1"/>
  <c r="R14" i="3"/>
  <c r="Q14" i="3"/>
  <c r="P14" i="3"/>
  <c r="O14" i="3"/>
  <c r="N14" i="3"/>
  <c r="M14" i="3"/>
  <c r="L14" i="3"/>
  <c r="I14" i="3"/>
  <c r="H14" i="3"/>
  <c r="G14" i="3"/>
  <c r="F14" i="3"/>
  <c r="E14" i="3"/>
  <c r="D14" i="3"/>
  <c r="C14" i="3"/>
  <c r="B14" i="3"/>
  <c r="K14" i="3" s="1"/>
  <c r="N13" i="3"/>
  <c r="G13" i="3"/>
  <c r="E13" i="3"/>
  <c r="D13" i="3"/>
  <c r="C13" i="3"/>
  <c r="R13" i="3" s="1"/>
  <c r="B13" i="3"/>
  <c r="F12" i="3"/>
  <c r="D12" i="3"/>
  <c r="C12" i="3"/>
  <c r="M12" i="3" s="1"/>
  <c r="B12" i="3"/>
  <c r="E12" i="3" s="1"/>
  <c r="M11" i="3"/>
  <c r="J11" i="3"/>
  <c r="D11" i="3"/>
  <c r="C11" i="3"/>
  <c r="F11" i="3" s="1"/>
  <c r="B11" i="3"/>
  <c r="N11" i="3" s="1"/>
  <c r="R10" i="3"/>
  <c r="J10" i="3"/>
  <c r="I10" i="3"/>
  <c r="D10" i="3"/>
  <c r="C10" i="3"/>
  <c r="F10" i="3" s="1"/>
  <c r="B10" i="3"/>
  <c r="R9" i="3"/>
  <c r="Q9" i="3"/>
  <c r="I9" i="3"/>
  <c r="G9" i="3"/>
  <c r="D9" i="3"/>
  <c r="C9" i="3"/>
  <c r="F9" i="3" s="1"/>
  <c r="B9" i="3"/>
  <c r="J9" i="3" s="1"/>
  <c r="R8" i="3"/>
  <c r="P8" i="3"/>
  <c r="O8" i="3"/>
  <c r="J8" i="3"/>
  <c r="G8" i="3"/>
  <c r="F8" i="3"/>
  <c r="D8" i="3"/>
  <c r="C8" i="3"/>
  <c r="I8" i="3" s="1"/>
  <c r="B8" i="3"/>
  <c r="Q8" i="3" s="1"/>
  <c r="Q7" i="3"/>
  <c r="P7" i="3"/>
  <c r="O7" i="3"/>
  <c r="N7" i="3"/>
  <c r="I7" i="3"/>
  <c r="H7" i="3"/>
  <c r="G7" i="3"/>
  <c r="F7" i="3"/>
  <c r="E7" i="3"/>
  <c r="D7" i="3"/>
  <c r="C7" i="3"/>
  <c r="R7" i="3" s="1"/>
  <c r="B7" i="3"/>
  <c r="J7" i="3" s="1"/>
  <c r="R6" i="3"/>
  <c r="Q6" i="3"/>
  <c r="P6" i="3"/>
  <c r="O6" i="3"/>
  <c r="N6" i="3"/>
  <c r="M6" i="3"/>
  <c r="I6" i="3"/>
  <c r="H6" i="3"/>
  <c r="G6" i="3"/>
  <c r="F6" i="3"/>
  <c r="E6" i="3"/>
  <c r="D6" i="3"/>
  <c r="C6" i="3"/>
  <c r="B6" i="3"/>
  <c r="K6" i="3" s="1"/>
  <c r="R5" i="3"/>
  <c r="Q5" i="3"/>
  <c r="P5" i="3"/>
  <c r="O5" i="3"/>
  <c r="N5" i="3"/>
  <c r="I5" i="3"/>
  <c r="H5" i="3"/>
  <c r="G5" i="3"/>
  <c r="F5" i="3"/>
  <c r="E5" i="3"/>
  <c r="D5" i="3"/>
  <c r="C5" i="3"/>
  <c r="M5" i="3" s="1"/>
  <c r="B5" i="3"/>
  <c r="L5" i="3" s="1"/>
  <c r="R4" i="3"/>
  <c r="Q4" i="3"/>
  <c r="P4" i="3"/>
  <c r="O4" i="3"/>
  <c r="N4" i="3"/>
  <c r="J4" i="3"/>
  <c r="I4" i="3"/>
  <c r="H4" i="3"/>
  <c r="G4" i="3"/>
  <c r="F4" i="3"/>
  <c r="D4" i="3"/>
  <c r="C4" i="3"/>
  <c r="M4" i="3" s="1"/>
  <c r="B4" i="3"/>
  <c r="E4" i="3" s="1"/>
  <c r="K12" i="3" l="1"/>
  <c r="K13" i="3"/>
  <c r="L15" i="3"/>
  <c r="M19" i="3"/>
  <c r="M29" i="3"/>
  <c r="E33" i="3"/>
  <c r="L33" i="3"/>
  <c r="N33" i="3"/>
  <c r="O39" i="3"/>
  <c r="G39" i="3"/>
  <c r="E39" i="3"/>
  <c r="P39" i="3"/>
  <c r="N39" i="3"/>
  <c r="R52" i="3"/>
  <c r="Q52" i="3"/>
  <c r="I52" i="3"/>
  <c r="P52" i="3"/>
  <c r="H52" i="3"/>
  <c r="O52" i="3"/>
  <c r="M52" i="3"/>
  <c r="L52" i="3"/>
  <c r="I53" i="3"/>
  <c r="F53" i="3"/>
  <c r="R53" i="3"/>
  <c r="M53" i="3"/>
  <c r="Q61" i="3"/>
  <c r="P61" i="3"/>
  <c r="H61" i="3"/>
  <c r="O61" i="3"/>
  <c r="G61" i="3"/>
  <c r="N61" i="3"/>
  <c r="L61" i="3"/>
  <c r="R69" i="3"/>
  <c r="P69" i="3"/>
  <c r="O69" i="3"/>
  <c r="F69" i="3"/>
  <c r="M69" i="3"/>
  <c r="K69" i="3"/>
  <c r="L69" i="3"/>
  <c r="Q70" i="3"/>
  <c r="H70" i="3"/>
  <c r="P70" i="3"/>
  <c r="G70" i="3"/>
  <c r="O70" i="3"/>
  <c r="N70" i="3"/>
  <c r="E70" i="3"/>
  <c r="L70" i="3"/>
  <c r="K11" i="3"/>
  <c r="L12" i="3"/>
  <c r="M13" i="3"/>
  <c r="J13" i="8" s="1"/>
  <c r="M15" i="3"/>
  <c r="K18" i="3"/>
  <c r="L21" i="3"/>
  <c r="O21" i="3"/>
  <c r="G21" i="3"/>
  <c r="K21" i="3"/>
  <c r="M26" i="3"/>
  <c r="K28" i="3"/>
  <c r="O33" i="3"/>
  <c r="M39" i="3"/>
  <c r="I39" i="3"/>
  <c r="Q39" i="3"/>
  <c r="N49" i="3"/>
  <c r="R60" i="3"/>
  <c r="Q60" i="3"/>
  <c r="I60" i="3"/>
  <c r="P60" i="3"/>
  <c r="H60" i="3"/>
  <c r="O60" i="3"/>
  <c r="M60" i="3"/>
  <c r="L60" i="3"/>
  <c r="I61" i="3"/>
  <c r="F61" i="3"/>
  <c r="R61" i="3"/>
  <c r="M61" i="3"/>
  <c r="B4" i="8"/>
  <c r="B23" i="8"/>
  <c r="B23" i="4"/>
  <c r="B4" i="4"/>
  <c r="F19" i="3"/>
  <c r="I19" i="3"/>
  <c r="H8" i="3"/>
  <c r="F4" i="8" s="1"/>
  <c r="O10" i="3"/>
  <c r="G10" i="3"/>
  <c r="O7" i="8" s="1"/>
  <c r="K10" i="3"/>
  <c r="L11" i="3"/>
  <c r="N12" i="3"/>
  <c r="O18" i="3"/>
  <c r="L18" i="3"/>
  <c r="P19" i="3"/>
  <c r="M21" i="3"/>
  <c r="P25" i="3"/>
  <c r="H25" i="3"/>
  <c r="K25" i="3"/>
  <c r="L25" i="3"/>
  <c r="E28" i="3"/>
  <c r="P28" i="3"/>
  <c r="H28" i="3"/>
  <c r="L28" i="3"/>
  <c r="P29" i="3"/>
  <c r="Q32" i="3"/>
  <c r="L32" i="3"/>
  <c r="K32" i="3"/>
  <c r="P33" i="3"/>
  <c r="H34" i="3"/>
  <c r="R39" i="3"/>
  <c r="N45" i="3"/>
  <c r="O80" i="3"/>
  <c r="G80" i="3"/>
  <c r="Q80" i="3"/>
  <c r="H80" i="3"/>
  <c r="P80" i="3"/>
  <c r="N80" i="3"/>
  <c r="E80" i="3"/>
  <c r="L80" i="3"/>
  <c r="P9" i="3"/>
  <c r="H16" i="8" s="1"/>
  <c r="H9" i="3"/>
  <c r="P8" i="8" s="1"/>
  <c r="L10" i="3"/>
  <c r="O13" i="3"/>
  <c r="F15" i="3"/>
  <c r="M18" i="3"/>
  <c r="F29" i="3"/>
  <c r="M32" i="3"/>
  <c r="Q33" i="3"/>
  <c r="Q37" i="3"/>
  <c r="O37" i="3"/>
  <c r="G37" i="3"/>
  <c r="K37" i="3"/>
  <c r="R44" i="3"/>
  <c r="P44" i="3"/>
  <c r="H44" i="3"/>
  <c r="Q44" i="3"/>
  <c r="F44" i="3"/>
  <c r="O44" i="3"/>
  <c r="K44" i="3"/>
  <c r="P46" i="3"/>
  <c r="H46" i="3"/>
  <c r="O46" i="3"/>
  <c r="G46" i="3"/>
  <c r="N46" i="3"/>
  <c r="E46" i="3"/>
  <c r="L46" i="3"/>
  <c r="E49" i="3"/>
  <c r="L49" i="3"/>
  <c r="K49" i="3"/>
  <c r="P49" i="3"/>
  <c r="H49" i="3"/>
  <c r="J49" i="3"/>
  <c r="Q49" i="3"/>
  <c r="F52" i="3"/>
  <c r="K8" i="3"/>
  <c r="L9" i="3"/>
  <c r="M10" i="3"/>
  <c r="E11" i="3"/>
  <c r="O11" i="3"/>
  <c r="G12" i="3"/>
  <c r="P12" i="3"/>
  <c r="P13" i="3"/>
  <c r="P15" i="3"/>
  <c r="P17" i="3"/>
  <c r="K16" i="8" s="1"/>
  <c r="H17" i="3"/>
  <c r="K17" i="3"/>
  <c r="L17" i="3"/>
  <c r="H19" i="3"/>
  <c r="E20" i="3"/>
  <c r="P20" i="3"/>
  <c r="H20" i="3"/>
  <c r="L20" i="3"/>
  <c r="E21" i="3"/>
  <c r="P21" i="3"/>
  <c r="Q24" i="3"/>
  <c r="L24" i="3"/>
  <c r="K24" i="3"/>
  <c r="F26" i="3"/>
  <c r="Q26" i="3"/>
  <c r="O28" i="3"/>
  <c r="E15" i="8" s="1"/>
  <c r="H29" i="3"/>
  <c r="R29" i="3"/>
  <c r="G33" i="3"/>
  <c r="K34" i="3"/>
  <c r="I37" i="3"/>
  <c r="R37" i="3"/>
  <c r="F37" i="3"/>
  <c r="P37" i="3"/>
  <c r="H39" i="3"/>
  <c r="F40" i="3"/>
  <c r="R40" i="3"/>
  <c r="Q40" i="3"/>
  <c r="P40" i="3"/>
  <c r="I45" i="3"/>
  <c r="R45" i="3"/>
  <c r="F46" i="3"/>
  <c r="I46" i="3"/>
  <c r="F48" i="3"/>
  <c r="M48" i="3"/>
  <c r="I48" i="3"/>
  <c r="O48" i="3"/>
  <c r="K53" i="3"/>
  <c r="N56" i="3"/>
  <c r="E56" i="3"/>
  <c r="L56" i="3"/>
  <c r="K56" i="3"/>
  <c r="Q56" i="3"/>
  <c r="O56" i="3"/>
  <c r="J56" i="3"/>
  <c r="F60" i="3"/>
  <c r="J61" i="3"/>
  <c r="H69" i="3"/>
  <c r="K70" i="3"/>
  <c r="K9" i="3"/>
  <c r="F13" i="3"/>
  <c r="H6" i="8" s="1"/>
  <c r="E61" i="3"/>
  <c r="J5" i="3"/>
  <c r="B29" i="8" s="1"/>
  <c r="J6" i="3"/>
  <c r="K7" i="3"/>
  <c r="L8" i="3"/>
  <c r="M9" i="3"/>
  <c r="E10" i="3"/>
  <c r="N10" i="3"/>
  <c r="G11" i="3"/>
  <c r="P11" i="3"/>
  <c r="H12" i="3"/>
  <c r="Q12" i="3"/>
  <c r="O4" i="8" s="1"/>
  <c r="H13" i="3"/>
  <c r="Q13" i="3"/>
  <c r="H15" i="3"/>
  <c r="Q15" i="3"/>
  <c r="P18" i="3"/>
  <c r="N20" i="3"/>
  <c r="F21" i="3"/>
  <c r="Q21" i="3"/>
  <c r="M24" i="3"/>
  <c r="E25" i="3"/>
  <c r="O25" i="3"/>
  <c r="H26" i="3"/>
  <c r="N27" i="3"/>
  <c r="Q27" i="3"/>
  <c r="L27" i="3"/>
  <c r="F28" i="3"/>
  <c r="B6" i="4" s="1"/>
  <c r="Q28" i="3"/>
  <c r="I29" i="3"/>
  <c r="K30" i="3"/>
  <c r="N30" i="3"/>
  <c r="J30" i="3"/>
  <c r="R31" i="3"/>
  <c r="M31" i="3"/>
  <c r="L31" i="3"/>
  <c r="E32" i="3"/>
  <c r="O32" i="3"/>
  <c r="H33" i="3"/>
  <c r="R34" i="3"/>
  <c r="I34" i="3"/>
  <c r="M34" i="3"/>
  <c r="N34" i="3"/>
  <c r="P38" i="3"/>
  <c r="H38" i="3"/>
  <c r="N38" i="3"/>
  <c r="K38" i="3"/>
  <c r="O38" i="3"/>
  <c r="M38" i="3"/>
  <c r="J39" i="3"/>
  <c r="E41" i="3"/>
  <c r="K41" i="3"/>
  <c r="J41" i="3"/>
  <c r="O41" i="3"/>
  <c r="N41" i="3"/>
  <c r="K52" i="3"/>
  <c r="P54" i="3"/>
  <c r="H54" i="3"/>
  <c r="O54" i="3"/>
  <c r="G54" i="3"/>
  <c r="N54" i="3"/>
  <c r="E54" i="3"/>
  <c r="K54" i="3"/>
  <c r="Q54" i="3"/>
  <c r="K61" i="3"/>
  <c r="N64" i="3"/>
  <c r="E64" i="3"/>
  <c r="L64" i="3"/>
  <c r="K64" i="3"/>
  <c r="Q64" i="3"/>
  <c r="O64" i="3"/>
  <c r="J64" i="3"/>
  <c r="I69" i="3"/>
  <c r="J80" i="3"/>
  <c r="K4" i="3"/>
  <c r="K5" i="3"/>
  <c r="L6" i="3"/>
  <c r="L7" i="3"/>
  <c r="M8" i="3"/>
  <c r="E9" i="3"/>
  <c r="N9" i="3"/>
  <c r="P10" i="3"/>
  <c r="P16" i="8" s="1"/>
  <c r="H11" i="3"/>
  <c r="F8" i="4" s="1"/>
  <c r="Q11" i="3"/>
  <c r="I12" i="3"/>
  <c r="R12" i="3"/>
  <c r="I13" i="3"/>
  <c r="I15" i="3"/>
  <c r="Q16" i="3"/>
  <c r="L16" i="3"/>
  <c r="K16" i="3"/>
  <c r="N17" i="3"/>
  <c r="F18" i="3"/>
  <c r="Q18" i="3"/>
  <c r="K19" i="3"/>
  <c r="O20" i="3"/>
  <c r="H21" i="3"/>
  <c r="R21" i="3"/>
  <c r="N24" i="3"/>
  <c r="Q25" i="3"/>
  <c r="I26" i="3"/>
  <c r="F27" i="3"/>
  <c r="I27" i="3"/>
  <c r="M27" i="3"/>
  <c r="G28" i="3"/>
  <c r="R28" i="3"/>
  <c r="L30" i="3"/>
  <c r="F32" i="3"/>
  <c r="P32" i="3"/>
  <c r="J33" i="3"/>
  <c r="O34" i="3"/>
  <c r="E37" i="3"/>
  <c r="Q38" i="3"/>
  <c r="K39" i="3"/>
  <c r="P41" i="3"/>
  <c r="K43" i="3"/>
  <c r="Q43" i="3"/>
  <c r="N43" i="3"/>
  <c r="E43" i="3"/>
  <c r="H43" i="3"/>
  <c r="J46" i="3"/>
  <c r="K60" i="3"/>
  <c r="P62" i="3"/>
  <c r="H62" i="3"/>
  <c r="O62" i="3"/>
  <c r="G62" i="3"/>
  <c r="N62" i="3"/>
  <c r="E62" i="3"/>
  <c r="K62" i="3"/>
  <c r="Q62" i="3"/>
  <c r="K80" i="3"/>
  <c r="O12" i="3"/>
  <c r="O15" i="3"/>
  <c r="R19" i="3"/>
  <c r="N37" i="3"/>
  <c r="Q45" i="3"/>
  <c r="P45" i="3"/>
  <c r="H45" i="3"/>
  <c r="O45" i="3"/>
  <c r="G45" i="3"/>
  <c r="L45" i="3"/>
  <c r="K45" i="3"/>
  <c r="J70" i="3"/>
  <c r="L4" i="3"/>
  <c r="M7" i="3"/>
  <c r="C13" i="8" s="1"/>
  <c r="E8" i="3"/>
  <c r="C5" i="8" s="1"/>
  <c r="N8" i="3"/>
  <c r="P14" i="8" s="1"/>
  <c r="O9" i="3"/>
  <c r="L15" i="8" s="1"/>
  <c r="H10" i="3"/>
  <c r="I8" i="8" s="1"/>
  <c r="Q10" i="3"/>
  <c r="L17" i="4" s="1"/>
  <c r="I11" i="3"/>
  <c r="K9" i="8" s="1"/>
  <c r="R11" i="3"/>
  <c r="H18" i="8" s="1"/>
  <c r="J12" i="3"/>
  <c r="I10" i="8" s="1"/>
  <c r="L13" i="3"/>
  <c r="J13" i="3"/>
  <c r="J14" i="3"/>
  <c r="K15" i="3"/>
  <c r="M16" i="3"/>
  <c r="E17" i="3"/>
  <c r="O17" i="3"/>
  <c r="H18" i="3"/>
  <c r="N19" i="3"/>
  <c r="N14" i="4" s="1"/>
  <c r="Q19" i="3"/>
  <c r="L19" i="3"/>
  <c r="F20" i="3"/>
  <c r="Q20" i="3"/>
  <c r="K22" i="3"/>
  <c r="N22" i="3"/>
  <c r="J22" i="3"/>
  <c r="R23" i="3"/>
  <c r="P18" i="8" s="1"/>
  <c r="M23" i="3"/>
  <c r="L23" i="3"/>
  <c r="E24" i="3"/>
  <c r="O24" i="3"/>
  <c r="G25" i="3"/>
  <c r="K26" i="3"/>
  <c r="O27" i="3"/>
  <c r="I28" i="3"/>
  <c r="E9" i="4" s="1"/>
  <c r="L29" i="3"/>
  <c r="O29" i="3"/>
  <c r="G29" i="3"/>
  <c r="K29" i="3"/>
  <c r="O31" i="3"/>
  <c r="G32" i="3"/>
  <c r="R32" i="3"/>
  <c r="K33" i="3"/>
  <c r="E34" i="3"/>
  <c r="P34" i="3"/>
  <c r="H37" i="3"/>
  <c r="R38" i="3"/>
  <c r="L39" i="3"/>
  <c r="Q41" i="3"/>
  <c r="O43" i="3"/>
  <c r="I44" i="3"/>
  <c r="F45" i="3"/>
  <c r="K46" i="3"/>
  <c r="H48" i="3"/>
  <c r="G49" i="3"/>
  <c r="Q53" i="3"/>
  <c r="P53" i="3"/>
  <c r="H53" i="3"/>
  <c r="O53" i="3"/>
  <c r="G53" i="3"/>
  <c r="N53" i="3"/>
  <c r="L53" i="3"/>
  <c r="G56" i="3"/>
  <c r="E66" i="3"/>
  <c r="P66" i="3"/>
  <c r="G66" i="3"/>
  <c r="O66" i="3"/>
  <c r="N66" i="3"/>
  <c r="L66" i="3"/>
  <c r="J66" i="3"/>
  <c r="K66" i="3"/>
  <c r="Q69" i="3"/>
  <c r="R71" i="3"/>
  <c r="I71" i="3"/>
  <c r="F71" i="3"/>
  <c r="M71" i="3"/>
  <c r="J18" i="3"/>
  <c r="J26" i="3"/>
  <c r="N40" i="3"/>
  <c r="L40" i="3"/>
  <c r="K40" i="3"/>
  <c r="F55" i="3"/>
  <c r="M55" i="3"/>
  <c r="K13" i="8" s="1"/>
  <c r="L55" i="3"/>
  <c r="R55" i="3"/>
  <c r="F63" i="3"/>
  <c r="M63" i="3"/>
  <c r="L63" i="3"/>
  <c r="R63" i="3"/>
  <c r="O47" i="3"/>
  <c r="G47" i="3"/>
  <c r="E4" i="4" s="1"/>
  <c r="N47" i="3"/>
  <c r="E47" i="3"/>
  <c r="J47" i="3"/>
  <c r="Q47" i="3"/>
  <c r="F67" i="3"/>
  <c r="M67" i="3"/>
  <c r="Q78" i="3"/>
  <c r="O78" i="3"/>
  <c r="N78" i="3"/>
  <c r="E78" i="3"/>
  <c r="L78" i="3"/>
  <c r="J78" i="3"/>
  <c r="G18" i="3"/>
  <c r="G26" i="3"/>
  <c r="I33" i="3"/>
  <c r="R33" i="3"/>
  <c r="K35" i="3"/>
  <c r="Q35" i="3"/>
  <c r="J35" i="3"/>
  <c r="R36" i="3"/>
  <c r="P36" i="3"/>
  <c r="H36" i="3"/>
  <c r="M36" i="3"/>
  <c r="H40" i="3"/>
  <c r="M42" i="3"/>
  <c r="F47" i="3"/>
  <c r="M47" i="3"/>
  <c r="R47" i="3"/>
  <c r="N48" i="3"/>
  <c r="E48" i="3"/>
  <c r="L48" i="3"/>
  <c r="Q48" i="3"/>
  <c r="H17" i="4" s="1"/>
  <c r="P48" i="3"/>
  <c r="P55" i="3"/>
  <c r="P63" i="3"/>
  <c r="P71" i="3"/>
  <c r="H71" i="3"/>
  <c r="J71" i="3"/>
  <c r="Q71" i="3"/>
  <c r="G71" i="3"/>
  <c r="O71" i="3"/>
  <c r="R72" i="3"/>
  <c r="I72" i="3"/>
  <c r="Q72" i="3"/>
  <c r="H72" i="3"/>
  <c r="P72" i="3"/>
  <c r="F79" i="3"/>
  <c r="M79" i="3"/>
  <c r="J55" i="3"/>
  <c r="I56" i="3"/>
  <c r="H57" i="3"/>
  <c r="P57" i="3"/>
  <c r="J63" i="3"/>
  <c r="I64" i="3"/>
  <c r="L67" i="3"/>
  <c r="J67" i="3"/>
  <c r="J68" i="3"/>
  <c r="G73" i="3"/>
  <c r="P73" i="3"/>
  <c r="H74" i="3"/>
  <c r="Q74" i="3"/>
  <c r="H75" i="3"/>
  <c r="Q75" i="3"/>
  <c r="H76" i="3"/>
  <c r="Q76" i="3"/>
  <c r="P79" i="3"/>
  <c r="H79" i="3"/>
  <c r="K79" i="3"/>
  <c r="J57" i="3"/>
  <c r="K65" i="3"/>
  <c r="J75" i="3"/>
  <c r="J76" i="3"/>
  <c r="J42" i="3"/>
  <c r="J50" i="3"/>
  <c r="R50" i="3"/>
  <c r="Q51" i="3"/>
  <c r="E55" i="3"/>
  <c r="K57" i="3"/>
  <c r="J58" i="3"/>
  <c r="R58" i="3"/>
  <c r="Q59" i="3"/>
  <c r="E63" i="3"/>
  <c r="L65" i="3"/>
  <c r="E67" i="3"/>
  <c r="N67" i="3"/>
  <c r="E68" i="3"/>
  <c r="N68" i="3"/>
  <c r="F70" i="3"/>
  <c r="J73" i="3"/>
  <c r="K74" i="3"/>
  <c r="K75" i="3"/>
  <c r="L76" i="3"/>
  <c r="L77" i="3"/>
  <c r="M78" i="3"/>
  <c r="M13" i="4" s="1"/>
  <c r="E79" i="3"/>
  <c r="N79" i="3"/>
  <c r="F80" i="3"/>
  <c r="J51" i="3"/>
  <c r="N55" i="3"/>
  <c r="M56" i="3"/>
  <c r="L57" i="3"/>
  <c r="J59" i="3"/>
  <c r="F10" i="4" s="1"/>
  <c r="N63" i="3"/>
  <c r="M64" i="3"/>
  <c r="F66" i="3"/>
  <c r="O67" i="3"/>
  <c r="O68" i="3"/>
  <c r="K73" i="3"/>
  <c r="L74" i="3"/>
  <c r="O79" i="3"/>
  <c r="G55" i="3"/>
  <c r="G63" i="3"/>
  <c r="E65" i="3"/>
  <c r="O65" i="3"/>
  <c r="G67" i="3"/>
  <c r="P67" i="3"/>
  <c r="G68" i="3"/>
  <c r="P68" i="3"/>
  <c r="R70" i="3"/>
  <c r="O72" i="3"/>
  <c r="G72" i="3"/>
  <c r="K72" i="3"/>
  <c r="L73" i="3"/>
  <c r="N74" i="3"/>
  <c r="E75" i="3"/>
  <c r="N75" i="3"/>
  <c r="E76" i="3"/>
  <c r="N76" i="3"/>
  <c r="F78" i="3"/>
  <c r="G79" i="3"/>
  <c r="Q79" i="3"/>
  <c r="I80" i="3"/>
  <c r="L13" i="8" l="1"/>
  <c r="B5" i="4"/>
  <c r="J8" i="4"/>
  <c r="H9" i="8"/>
  <c r="L7" i="4"/>
  <c r="C15" i="4"/>
  <c r="P6" i="8"/>
  <c r="I14" i="8"/>
  <c r="B13" i="4"/>
  <c r="B32" i="4"/>
  <c r="B13" i="8"/>
  <c r="E13" i="8"/>
  <c r="D17" i="4"/>
  <c r="P17" i="4"/>
  <c r="M17" i="8"/>
  <c r="L17" i="8"/>
  <c r="K5" i="4"/>
  <c r="J5" i="4"/>
  <c r="F5" i="4"/>
  <c r="J5" i="8"/>
  <c r="B24" i="8"/>
  <c r="N10" i="4"/>
  <c r="C10" i="4"/>
  <c r="N10" i="8"/>
  <c r="P10" i="8"/>
  <c r="K8" i="4"/>
  <c r="O8" i="8"/>
  <c r="D8" i="8"/>
  <c r="J8" i="8"/>
  <c r="N18" i="4"/>
  <c r="C18" i="4"/>
  <c r="L18" i="8"/>
  <c r="B18" i="8"/>
  <c r="M9" i="4"/>
  <c r="B9" i="4"/>
  <c r="L9" i="8"/>
  <c r="O9" i="8"/>
  <c r="F16" i="4"/>
  <c r="G16" i="4"/>
  <c r="L16" i="8"/>
  <c r="B35" i="8"/>
  <c r="M7" i="4"/>
  <c r="F7" i="4"/>
  <c r="B7" i="8"/>
  <c r="P7" i="8"/>
  <c r="N4" i="4"/>
  <c r="E4" i="8"/>
  <c r="K15" i="4"/>
  <c r="P15" i="4"/>
  <c r="P15" i="8"/>
  <c r="M15" i="8"/>
  <c r="J6" i="4"/>
  <c r="O6" i="4"/>
  <c r="I6" i="8"/>
  <c r="D6" i="8"/>
  <c r="C14" i="4"/>
  <c r="K14" i="8"/>
  <c r="C14" i="8"/>
  <c r="D14" i="8"/>
  <c r="I13" i="4"/>
  <c r="H17" i="8"/>
  <c r="K11" i="8"/>
  <c r="C11" i="8"/>
  <c r="B30" i="8"/>
  <c r="I11" i="8"/>
  <c r="M11" i="8"/>
  <c r="E11" i="8"/>
  <c r="L11" i="8"/>
  <c r="D11" i="8"/>
  <c r="P11" i="8"/>
  <c r="O11" i="8"/>
  <c r="N11" i="8"/>
  <c r="J11" i="8"/>
  <c r="H11" i="8"/>
  <c r="G11" i="8"/>
  <c r="F11" i="8"/>
  <c r="M11" i="4"/>
  <c r="E11" i="4"/>
  <c r="B11" i="8"/>
  <c r="L11" i="4"/>
  <c r="D11" i="4"/>
  <c r="K11" i="4"/>
  <c r="C11" i="4"/>
  <c r="J11" i="4"/>
  <c r="B11" i="4"/>
  <c r="P11" i="4"/>
  <c r="H11" i="4"/>
  <c r="I4" i="4"/>
  <c r="O11" i="4"/>
  <c r="G11" i="4"/>
  <c r="B30" i="4"/>
  <c r="N11" i="4"/>
  <c r="I11" i="4"/>
  <c r="F11" i="4"/>
  <c r="M10" i="8"/>
  <c r="D18" i="8"/>
  <c r="J16" i="4"/>
  <c r="E6" i="8"/>
  <c r="J14" i="4"/>
  <c r="B14" i="8"/>
  <c r="L12" i="8"/>
  <c r="D12" i="8"/>
  <c r="J12" i="8"/>
  <c r="B12" i="8"/>
  <c r="N12" i="8"/>
  <c r="F12" i="8"/>
  <c r="M12" i="8"/>
  <c r="E12" i="8"/>
  <c r="P12" i="8"/>
  <c r="O12" i="8"/>
  <c r="B31" i="8"/>
  <c r="K12" i="8"/>
  <c r="I12" i="8"/>
  <c r="H12" i="8"/>
  <c r="N12" i="4"/>
  <c r="F12" i="4"/>
  <c r="M12" i="4"/>
  <c r="E12" i="4"/>
  <c r="L12" i="4"/>
  <c r="D12" i="4"/>
  <c r="B31" i="4"/>
  <c r="K12" i="4"/>
  <c r="C12" i="4"/>
  <c r="I12" i="4"/>
  <c r="G12" i="8"/>
  <c r="P12" i="4"/>
  <c r="H12" i="4"/>
  <c r="O12" i="4"/>
  <c r="J4" i="4"/>
  <c r="C12" i="8"/>
  <c r="J12" i="4"/>
  <c r="G12" i="4"/>
  <c r="B12" i="4"/>
  <c r="J13" i="4"/>
  <c r="F13" i="4"/>
  <c r="F13" i="8"/>
  <c r="M13" i="8"/>
  <c r="G17" i="4"/>
  <c r="I17" i="4"/>
  <c r="B36" i="8"/>
  <c r="F17" i="8"/>
  <c r="C5" i="4"/>
  <c r="D5" i="4"/>
  <c r="N5" i="4"/>
  <c r="L5" i="8"/>
  <c r="G10" i="4"/>
  <c r="K10" i="4"/>
  <c r="O10" i="8"/>
  <c r="B10" i="8"/>
  <c r="B27" i="4"/>
  <c r="G8" i="4"/>
  <c r="E8" i="8"/>
  <c r="B27" i="8"/>
  <c r="H18" i="4"/>
  <c r="N18" i="8"/>
  <c r="K18" i="4"/>
  <c r="E18" i="8"/>
  <c r="J18" i="8"/>
  <c r="B28" i="4"/>
  <c r="J9" i="4"/>
  <c r="M9" i="8"/>
  <c r="I9" i="8"/>
  <c r="C16" i="4"/>
  <c r="O16" i="4"/>
  <c r="O16" i="8"/>
  <c r="E16" i="8"/>
  <c r="N7" i="8"/>
  <c r="N7" i="4"/>
  <c r="C7" i="8"/>
  <c r="I7" i="8"/>
  <c r="G4" i="8"/>
  <c r="M4" i="8"/>
  <c r="D15" i="4"/>
  <c r="I15" i="4"/>
  <c r="I15" i="8"/>
  <c r="G15" i="8"/>
  <c r="C6" i="4"/>
  <c r="B25" i="4"/>
  <c r="J6" i="8"/>
  <c r="L6" i="8"/>
  <c r="K14" i="4"/>
  <c r="G14" i="4"/>
  <c r="E14" i="8"/>
  <c r="L14" i="8"/>
  <c r="D17" i="8"/>
  <c r="M8" i="4"/>
  <c r="I9" i="4"/>
  <c r="H7" i="8"/>
  <c r="H15" i="8"/>
  <c r="H13" i="4"/>
  <c r="D13" i="8"/>
  <c r="N13" i="4"/>
  <c r="N13" i="8"/>
  <c r="B32" i="8"/>
  <c r="E17" i="4"/>
  <c r="B17" i="4"/>
  <c r="P17" i="8"/>
  <c r="N17" i="8"/>
  <c r="C4" i="8"/>
  <c r="L5" i="4"/>
  <c r="G5" i="4"/>
  <c r="F5" i="8"/>
  <c r="E10" i="4"/>
  <c r="O10" i="4"/>
  <c r="D10" i="4"/>
  <c r="C10" i="8"/>
  <c r="J10" i="8"/>
  <c r="N8" i="4"/>
  <c r="O8" i="4"/>
  <c r="G8" i="8"/>
  <c r="F8" i="8"/>
  <c r="E18" i="4"/>
  <c r="G18" i="4"/>
  <c r="D18" i="4"/>
  <c r="M18" i="8"/>
  <c r="O9" i="4"/>
  <c r="F9" i="4"/>
  <c r="C9" i="4"/>
  <c r="N9" i="8"/>
  <c r="K16" i="4"/>
  <c r="H16" i="4"/>
  <c r="D16" i="8"/>
  <c r="M16" i="8"/>
  <c r="E7" i="4"/>
  <c r="G7" i="4"/>
  <c r="D7" i="8"/>
  <c r="B26" i="8"/>
  <c r="J15" i="4"/>
  <c r="L15" i="4"/>
  <c r="B34" i="4"/>
  <c r="B34" i="8"/>
  <c r="O15" i="8"/>
  <c r="K6" i="4"/>
  <c r="M6" i="8"/>
  <c r="K6" i="8"/>
  <c r="F6" i="8"/>
  <c r="E14" i="4"/>
  <c r="O14" i="4"/>
  <c r="G14" i="8"/>
  <c r="F14" i="8"/>
  <c r="O17" i="4"/>
  <c r="I5" i="8"/>
  <c r="E10" i="8"/>
  <c r="F18" i="4"/>
  <c r="G9" i="8"/>
  <c r="B26" i="4"/>
  <c r="H15" i="4"/>
  <c r="K13" i="4"/>
  <c r="G13" i="8"/>
  <c r="M17" i="4"/>
  <c r="J17" i="4"/>
  <c r="B17" i="8"/>
  <c r="G17" i="8"/>
  <c r="H5" i="4"/>
  <c r="M5" i="8"/>
  <c r="O5" i="4"/>
  <c r="N5" i="8"/>
  <c r="H4" i="4"/>
  <c r="B29" i="4"/>
  <c r="L10" i="4"/>
  <c r="K10" i="8"/>
  <c r="D8" i="4"/>
  <c r="H8" i="4"/>
  <c r="K8" i="8"/>
  <c r="N8" i="8"/>
  <c r="M18" i="4"/>
  <c r="O18" i="4"/>
  <c r="L18" i="4"/>
  <c r="G18" i="8"/>
  <c r="G9" i="4"/>
  <c r="N9" i="4"/>
  <c r="K9" i="4"/>
  <c r="B9" i="8"/>
  <c r="N16" i="4"/>
  <c r="P16" i="4"/>
  <c r="I16" i="8"/>
  <c r="F16" i="8"/>
  <c r="J7" i="4"/>
  <c r="O7" i="4"/>
  <c r="F7" i="8"/>
  <c r="E7" i="8"/>
  <c r="C4" i="4"/>
  <c r="D18" i="5" s="1"/>
  <c r="H4" i="8"/>
  <c r="N4" i="8"/>
  <c r="M15" i="4"/>
  <c r="F15" i="4"/>
  <c r="C15" i="8"/>
  <c r="B15" i="8"/>
  <c r="D4" i="4"/>
  <c r="E6" i="4"/>
  <c r="H6" i="4"/>
  <c r="G6" i="8"/>
  <c r="N6" i="8"/>
  <c r="D14" i="4"/>
  <c r="M14" i="4"/>
  <c r="B33" i="4"/>
  <c r="O14" i="8"/>
  <c r="N14" i="8"/>
  <c r="K5" i="8"/>
  <c r="H10" i="8"/>
  <c r="J18" i="4"/>
  <c r="M16" i="4"/>
  <c r="F4" i="4"/>
  <c r="G6" i="4"/>
  <c r="G13" i="4"/>
  <c r="D13" i="4"/>
  <c r="O13" i="8"/>
  <c r="B36" i="4"/>
  <c r="C17" i="4"/>
  <c r="J17" i="8"/>
  <c r="O17" i="8"/>
  <c r="B5" i="8"/>
  <c r="E5" i="4"/>
  <c r="D5" i="8"/>
  <c r="G5" i="8"/>
  <c r="H10" i="4"/>
  <c r="I10" i="4"/>
  <c r="F10" i="8"/>
  <c r="D10" i="8"/>
  <c r="L8" i="4"/>
  <c r="P8" i="4"/>
  <c r="L8" i="8"/>
  <c r="H8" i="8"/>
  <c r="P18" i="4"/>
  <c r="B37" i="4"/>
  <c r="F18" i="8"/>
  <c r="O18" i="8"/>
  <c r="L9" i="4"/>
  <c r="H9" i="4"/>
  <c r="E9" i="8"/>
  <c r="J9" i="8"/>
  <c r="D16" i="4"/>
  <c r="I16" i="4"/>
  <c r="B16" i="8"/>
  <c r="N16" i="8"/>
  <c r="C7" i="4"/>
  <c r="H7" i="4"/>
  <c r="J7" i="8"/>
  <c r="M7" i="8"/>
  <c r="D4" i="8"/>
  <c r="D18" i="9" s="1"/>
  <c r="I4" i="8"/>
  <c r="D17" i="9" s="1"/>
  <c r="B15" i="4"/>
  <c r="N15" i="4"/>
  <c r="F15" i="8"/>
  <c r="J15" i="8"/>
  <c r="D6" i="4"/>
  <c r="M6" i="4"/>
  <c r="P6" i="4"/>
  <c r="O6" i="8"/>
  <c r="I14" i="4"/>
  <c r="J14" i="8"/>
  <c r="H14" i="4"/>
  <c r="B33" i="8"/>
  <c r="D9" i="4"/>
  <c r="B8" i="8"/>
  <c r="B35" i="4"/>
  <c r="B7" i="4"/>
  <c r="K4" i="4"/>
  <c r="P13" i="4"/>
  <c r="O13" i="4"/>
  <c r="H13" i="8"/>
  <c r="L13" i="4"/>
  <c r="I13" i="8"/>
  <c r="P13" i="8"/>
  <c r="F17" i="4"/>
  <c r="K17" i="4"/>
  <c r="C17" i="8"/>
  <c r="I17" i="8"/>
  <c r="P5" i="4"/>
  <c r="M5" i="4"/>
  <c r="E5" i="8"/>
  <c r="O5" i="8"/>
  <c r="M10" i="4"/>
  <c r="B10" i="4"/>
  <c r="G10" i="8"/>
  <c r="L10" i="8"/>
  <c r="C8" i="8"/>
  <c r="I8" i="4"/>
  <c r="M8" i="8"/>
  <c r="I18" i="8"/>
  <c r="I18" i="4"/>
  <c r="C18" i="8"/>
  <c r="B37" i="8"/>
  <c r="G4" i="4"/>
  <c r="P9" i="4"/>
  <c r="F9" i="8"/>
  <c r="C9" i="8"/>
  <c r="L16" i="4"/>
  <c r="G16" i="8"/>
  <c r="J16" i="8"/>
  <c r="K7" i="4"/>
  <c r="P7" i="4"/>
  <c r="K7" i="8"/>
  <c r="G7" i="8"/>
  <c r="P4" i="8"/>
  <c r="K4" i="8"/>
  <c r="J4" i="8"/>
  <c r="D7" i="9" s="1"/>
  <c r="M4" i="4"/>
  <c r="G15" i="4"/>
  <c r="K15" i="8"/>
  <c r="D15" i="8"/>
  <c r="I6" i="4"/>
  <c r="F6" i="4"/>
  <c r="B6" i="8"/>
  <c r="B25" i="8"/>
  <c r="L14" i="4"/>
  <c r="L4" i="4"/>
  <c r="P14" i="4"/>
  <c r="H14" i="8"/>
  <c r="O4" i="4"/>
  <c r="P5" i="8"/>
  <c r="C13" i="4"/>
  <c r="E13" i="4"/>
  <c r="N17" i="4"/>
  <c r="E17" i="8"/>
  <c r="K17" i="8"/>
  <c r="I5" i="4"/>
  <c r="B24" i="4"/>
  <c r="H5" i="8"/>
  <c r="P10" i="4"/>
  <c r="J10" i="4"/>
  <c r="C8" i="4"/>
  <c r="E8" i="4"/>
  <c r="B8" i="4"/>
  <c r="P4" i="4"/>
  <c r="B18" i="4"/>
  <c r="K18" i="8"/>
  <c r="D9" i="8"/>
  <c r="P9" i="8"/>
  <c r="B28" i="8"/>
  <c r="E16" i="4"/>
  <c r="B16" i="4"/>
  <c r="C16" i="8"/>
  <c r="D7" i="4"/>
  <c r="I7" i="4"/>
  <c r="L7" i="8"/>
  <c r="L4" i="8"/>
  <c r="E15" i="4"/>
  <c r="O15" i="4"/>
  <c r="N15" i="8"/>
  <c r="L6" i="4"/>
  <c r="N6" i="4"/>
  <c r="C6" i="8"/>
  <c r="B14" i="4"/>
  <c r="F14" i="4"/>
  <c r="M14" i="8"/>
  <c r="B24" i="11" l="1"/>
  <c r="E24" i="11" s="1"/>
  <c r="G17" i="9"/>
  <c r="B25" i="11"/>
  <c r="E25" i="11" s="1"/>
  <c r="G18" i="9"/>
  <c r="G7" i="9"/>
  <c r="B14" i="11"/>
  <c r="E14" i="11" s="1"/>
  <c r="B25" i="7"/>
  <c r="E25" i="7" s="1"/>
  <c r="G18" i="5"/>
  <c r="D15" i="9"/>
  <c r="D4" i="9"/>
  <c r="D15" i="5"/>
  <c r="D8" i="5"/>
  <c r="D5" i="9"/>
  <c r="D12" i="9"/>
  <c r="D4" i="5"/>
  <c r="D13" i="5"/>
  <c r="D13" i="9"/>
  <c r="D10" i="9"/>
  <c r="D6" i="5"/>
  <c r="D16" i="5"/>
  <c r="D8" i="9"/>
  <c r="D9" i="5"/>
  <c r="D14" i="5"/>
  <c r="D16" i="9"/>
  <c r="D7" i="5"/>
  <c r="D12" i="5"/>
  <c r="D6" i="9"/>
  <c r="D11" i="9"/>
  <c r="D10" i="5"/>
  <c r="D9" i="9"/>
  <c r="D11" i="5"/>
  <c r="D5" i="5"/>
  <c r="D14" i="9"/>
  <c r="D17" i="5"/>
  <c r="B12" i="7" l="1"/>
  <c r="E12" i="7" s="1"/>
  <c r="G5" i="5"/>
  <c r="B23" i="11"/>
  <c r="E23" i="11" s="1"/>
  <c r="G16" i="9"/>
  <c r="G13" i="5"/>
  <c r="B20" i="7"/>
  <c r="E20" i="7" s="1"/>
  <c r="E77" i="6"/>
  <c r="F77" i="6" s="1"/>
  <c r="E78" i="6"/>
  <c r="F78" i="6" s="1"/>
  <c r="E68" i="6"/>
  <c r="F68" i="6" s="1"/>
  <c r="E60" i="6"/>
  <c r="F60" i="6" s="1"/>
  <c r="E52" i="6"/>
  <c r="F52" i="6" s="1"/>
  <c r="E44" i="6"/>
  <c r="F44" i="6" s="1"/>
  <c r="E36" i="6"/>
  <c r="F36" i="6" s="1"/>
  <c r="E28" i="6"/>
  <c r="F28" i="6" s="1"/>
  <c r="E20" i="6"/>
  <c r="F20" i="6" s="1"/>
  <c r="E12" i="6"/>
  <c r="F12" i="6" s="1"/>
  <c r="E4" i="6"/>
  <c r="F4" i="6" s="1"/>
  <c r="E73" i="6"/>
  <c r="F73" i="6" s="1"/>
  <c r="E69" i="6"/>
  <c r="F69" i="6" s="1"/>
  <c r="E61" i="6"/>
  <c r="F61" i="6" s="1"/>
  <c r="E53" i="6"/>
  <c r="F53" i="6" s="1"/>
  <c r="E45" i="6"/>
  <c r="F45" i="6" s="1"/>
  <c r="E37" i="6"/>
  <c r="F37" i="6" s="1"/>
  <c r="E29" i="6"/>
  <c r="F29" i="6" s="1"/>
  <c r="E21" i="6"/>
  <c r="F21" i="6" s="1"/>
  <c r="E13" i="6"/>
  <c r="F13" i="6" s="1"/>
  <c r="E70" i="6"/>
  <c r="F70" i="6" s="1"/>
  <c r="E62" i="6"/>
  <c r="F62" i="6" s="1"/>
  <c r="E54" i="6"/>
  <c r="F54" i="6" s="1"/>
  <c r="E46" i="6"/>
  <c r="F46" i="6" s="1"/>
  <c r="E38" i="6"/>
  <c r="F38" i="6" s="1"/>
  <c r="E30" i="6"/>
  <c r="F30" i="6" s="1"/>
  <c r="E22" i="6"/>
  <c r="F22" i="6" s="1"/>
  <c r="E14" i="6"/>
  <c r="F14" i="6" s="1"/>
  <c r="E6" i="6"/>
  <c r="F6" i="6" s="1"/>
  <c r="E79" i="6"/>
  <c r="F79" i="6" s="1"/>
  <c r="E74" i="6"/>
  <c r="F74" i="6" s="1"/>
  <c r="E63" i="6"/>
  <c r="F63" i="6" s="1"/>
  <c r="E55" i="6"/>
  <c r="F55" i="6" s="1"/>
  <c r="E47" i="6"/>
  <c r="F47" i="6" s="1"/>
  <c r="E39" i="6"/>
  <c r="F39" i="6" s="1"/>
  <c r="E31" i="6"/>
  <c r="F31" i="6" s="1"/>
  <c r="E23" i="6"/>
  <c r="F23" i="6" s="1"/>
  <c r="E15" i="6"/>
  <c r="F15" i="6" s="1"/>
  <c r="E7" i="6"/>
  <c r="F7" i="6" s="1"/>
  <c r="E75" i="6"/>
  <c r="F75" i="6" s="1"/>
  <c r="E71" i="6"/>
  <c r="F71" i="6" s="1"/>
  <c r="E64" i="6"/>
  <c r="F64" i="6" s="1"/>
  <c r="E56" i="6"/>
  <c r="F56" i="6" s="1"/>
  <c r="E48" i="6"/>
  <c r="F48" i="6" s="1"/>
  <c r="E40" i="6"/>
  <c r="F40" i="6" s="1"/>
  <c r="E32" i="6"/>
  <c r="F32" i="6" s="1"/>
  <c r="E24" i="6"/>
  <c r="F24" i="6" s="1"/>
  <c r="E16" i="6"/>
  <c r="F16" i="6" s="1"/>
  <c r="E8" i="6"/>
  <c r="F8" i="6" s="1"/>
  <c r="B11" i="7"/>
  <c r="E11" i="7" s="1"/>
  <c r="E76" i="6"/>
  <c r="F76" i="6" s="1"/>
  <c r="E65" i="6"/>
  <c r="F65" i="6" s="1"/>
  <c r="E57" i="6"/>
  <c r="F57" i="6" s="1"/>
  <c r="E49" i="6"/>
  <c r="F49" i="6" s="1"/>
  <c r="E41" i="6"/>
  <c r="F41" i="6" s="1"/>
  <c r="E33" i="6"/>
  <c r="F33" i="6" s="1"/>
  <c r="E25" i="6"/>
  <c r="F25" i="6" s="1"/>
  <c r="E17" i="6"/>
  <c r="F17" i="6" s="1"/>
  <c r="E9" i="6"/>
  <c r="F9" i="6" s="1"/>
  <c r="E67" i="6"/>
  <c r="F67" i="6" s="1"/>
  <c r="E59" i="6"/>
  <c r="F59" i="6" s="1"/>
  <c r="E51" i="6"/>
  <c r="F51" i="6" s="1"/>
  <c r="E43" i="6"/>
  <c r="F43" i="6" s="1"/>
  <c r="E35" i="6"/>
  <c r="F35" i="6" s="1"/>
  <c r="E27" i="6"/>
  <c r="F27" i="6" s="1"/>
  <c r="E19" i="6"/>
  <c r="F19" i="6" s="1"/>
  <c r="E11" i="6"/>
  <c r="F11" i="6" s="1"/>
  <c r="C6" i="7"/>
  <c r="E5" i="6"/>
  <c r="F5" i="6" s="1"/>
  <c r="G4" i="5"/>
  <c r="E72" i="6"/>
  <c r="F72" i="6" s="1"/>
  <c r="E58" i="6"/>
  <c r="F58" i="6" s="1"/>
  <c r="E26" i="6"/>
  <c r="F26" i="6" s="1"/>
  <c r="E50" i="6"/>
  <c r="F50" i="6" s="1"/>
  <c r="E18" i="6"/>
  <c r="F18" i="6" s="1"/>
  <c r="E42" i="6"/>
  <c r="F42" i="6" s="1"/>
  <c r="E10" i="6"/>
  <c r="F10" i="6" s="1"/>
  <c r="E3" i="6"/>
  <c r="E34" i="6"/>
  <c r="F34" i="6" s="1"/>
  <c r="E66" i="6"/>
  <c r="F66" i="6" s="1"/>
  <c r="B16" i="11"/>
  <c r="E16" i="11" s="1"/>
  <c r="G9" i="9"/>
  <c r="B16" i="7"/>
  <c r="E16" i="7" s="1"/>
  <c r="G9" i="5"/>
  <c r="G12" i="9"/>
  <c r="B19" i="11"/>
  <c r="E19" i="11" s="1"/>
  <c r="B24" i="7"/>
  <c r="E24" i="7" s="1"/>
  <c r="G17" i="5"/>
  <c r="B17" i="7"/>
  <c r="E17" i="7" s="1"/>
  <c r="G10" i="5"/>
  <c r="B15" i="11"/>
  <c r="E15" i="11" s="1"/>
  <c r="G8" i="9"/>
  <c r="B12" i="11"/>
  <c r="E12" i="11" s="1"/>
  <c r="G5" i="9"/>
  <c r="B18" i="7"/>
  <c r="E18" i="7" s="1"/>
  <c r="G11" i="5"/>
  <c r="B18" i="11"/>
  <c r="E18" i="11" s="1"/>
  <c r="G11" i="9"/>
  <c r="G16" i="5"/>
  <c r="B23" i="7"/>
  <c r="E23" i="7" s="1"/>
  <c r="B15" i="7"/>
  <c r="E15" i="7" s="1"/>
  <c r="G8" i="5"/>
  <c r="G14" i="5"/>
  <c r="B21" i="7"/>
  <c r="E21" i="7" s="1"/>
  <c r="G6" i="9"/>
  <c r="B13" i="11"/>
  <c r="E13" i="11" s="1"/>
  <c r="B13" i="7"/>
  <c r="E13" i="7" s="1"/>
  <c r="G6" i="5"/>
  <c r="B22" i="7"/>
  <c r="E22" i="7" s="1"/>
  <c r="G15" i="5"/>
  <c r="B19" i="7"/>
  <c r="E19" i="7" s="1"/>
  <c r="G12" i="5"/>
  <c r="B17" i="11"/>
  <c r="E17" i="11" s="1"/>
  <c r="G10" i="9"/>
  <c r="E74" i="10"/>
  <c r="F74" i="10" s="1"/>
  <c r="E66" i="10"/>
  <c r="F66" i="10" s="1"/>
  <c r="E58" i="10"/>
  <c r="F58" i="10" s="1"/>
  <c r="E50" i="10"/>
  <c r="F50" i="10" s="1"/>
  <c r="E42" i="10"/>
  <c r="F42" i="10" s="1"/>
  <c r="E34" i="10"/>
  <c r="F34" i="10" s="1"/>
  <c r="E26" i="10"/>
  <c r="F26" i="10" s="1"/>
  <c r="E18" i="10"/>
  <c r="F18" i="10" s="1"/>
  <c r="E10" i="10"/>
  <c r="F10" i="10" s="1"/>
  <c r="G4" i="9"/>
  <c r="E76" i="10"/>
  <c r="F76" i="10" s="1"/>
  <c r="E68" i="10"/>
  <c r="F68" i="10" s="1"/>
  <c r="E60" i="10"/>
  <c r="F60" i="10" s="1"/>
  <c r="E52" i="10"/>
  <c r="F52" i="10" s="1"/>
  <c r="E44" i="10"/>
  <c r="F44" i="10" s="1"/>
  <c r="E36" i="10"/>
  <c r="F36" i="10" s="1"/>
  <c r="E28" i="10"/>
  <c r="F28" i="10" s="1"/>
  <c r="E20" i="10"/>
  <c r="F20" i="10" s="1"/>
  <c r="E12" i="10"/>
  <c r="F12" i="10" s="1"/>
  <c r="E4" i="10"/>
  <c r="F4" i="10" s="1"/>
  <c r="E77" i="10"/>
  <c r="F77" i="10" s="1"/>
  <c r="E69" i="10"/>
  <c r="F69" i="10" s="1"/>
  <c r="E61" i="10"/>
  <c r="F61" i="10" s="1"/>
  <c r="E53" i="10"/>
  <c r="F53" i="10" s="1"/>
  <c r="E45" i="10"/>
  <c r="F45" i="10" s="1"/>
  <c r="E37" i="10"/>
  <c r="F37" i="10" s="1"/>
  <c r="E29" i="10"/>
  <c r="F29" i="10" s="1"/>
  <c r="E21" i="10"/>
  <c r="F21" i="10" s="1"/>
  <c r="E13" i="10"/>
  <c r="F13" i="10" s="1"/>
  <c r="E5" i="10"/>
  <c r="F5" i="10" s="1"/>
  <c r="B11" i="11"/>
  <c r="E11" i="11" s="1"/>
  <c r="E79" i="10"/>
  <c r="F79" i="10" s="1"/>
  <c r="E71" i="10"/>
  <c r="F71" i="10" s="1"/>
  <c r="E63" i="10"/>
  <c r="F63" i="10" s="1"/>
  <c r="E55" i="10"/>
  <c r="F55" i="10" s="1"/>
  <c r="E47" i="10"/>
  <c r="F47" i="10" s="1"/>
  <c r="E39" i="10"/>
  <c r="F39" i="10" s="1"/>
  <c r="E31" i="10"/>
  <c r="F31" i="10" s="1"/>
  <c r="E23" i="10"/>
  <c r="F23" i="10" s="1"/>
  <c r="E15" i="10"/>
  <c r="F15" i="10" s="1"/>
  <c r="E7" i="10"/>
  <c r="F7" i="10" s="1"/>
  <c r="C6" i="11"/>
  <c r="E72" i="10"/>
  <c r="F72" i="10" s="1"/>
  <c r="E64" i="10"/>
  <c r="F64" i="10" s="1"/>
  <c r="E56" i="10"/>
  <c r="F56" i="10" s="1"/>
  <c r="E48" i="10"/>
  <c r="F48" i="10" s="1"/>
  <c r="E40" i="10"/>
  <c r="F40" i="10" s="1"/>
  <c r="E32" i="10"/>
  <c r="F32" i="10" s="1"/>
  <c r="E24" i="10"/>
  <c r="F24" i="10" s="1"/>
  <c r="E16" i="10"/>
  <c r="F16" i="10" s="1"/>
  <c r="E8" i="10"/>
  <c r="F8" i="10" s="1"/>
  <c r="E73" i="10"/>
  <c r="F73" i="10" s="1"/>
  <c r="E65" i="10"/>
  <c r="F65" i="10" s="1"/>
  <c r="E57" i="10"/>
  <c r="F57" i="10" s="1"/>
  <c r="E49" i="10"/>
  <c r="F49" i="10" s="1"/>
  <c r="E41" i="10"/>
  <c r="F41" i="10" s="1"/>
  <c r="E33" i="10"/>
  <c r="F33" i="10" s="1"/>
  <c r="E25" i="10"/>
  <c r="F25" i="10" s="1"/>
  <c r="E17" i="10"/>
  <c r="F17" i="10" s="1"/>
  <c r="E9" i="10"/>
  <c r="F9" i="10" s="1"/>
  <c r="E78" i="10"/>
  <c r="F78" i="10" s="1"/>
  <c r="E70" i="10"/>
  <c r="F70" i="10" s="1"/>
  <c r="E62" i="10"/>
  <c r="F62" i="10" s="1"/>
  <c r="E54" i="10"/>
  <c r="F54" i="10" s="1"/>
  <c r="E46" i="10"/>
  <c r="F46" i="10" s="1"/>
  <c r="E38" i="10"/>
  <c r="F38" i="10" s="1"/>
  <c r="E30" i="10"/>
  <c r="F30" i="10" s="1"/>
  <c r="E22" i="10"/>
  <c r="F22" i="10" s="1"/>
  <c r="E14" i="10"/>
  <c r="F14" i="10" s="1"/>
  <c r="E6" i="10"/>
  <c r="F6" i="10" s="1"/>
  <c r="E67" i="10"/>
  <c r="F67" i="10" s="1"/>
  <c r="E51" i="10"/>
  <c r="F51" i="10" s="1"/>
  <c r="E35" i="10"/>
  <c r="F35" i="10" s="1"/>
  <c r="E19" i="10"/>
  <c r="F19" i="10" s="1"/>
  <c r="E3" i="10"/>
  <c r="E75" i="10"/>
  <c r="F75" i="10" s="1"/>
  <c r="E59" i="10"/>
  <c r="F59" i="10" s="1"/>
  <c r="E43" i="10"/>
  <c r="F43" i="10" s="1"/>
  <c r="E27" i="10"/>
  <c r="F27" i="10" s="1"/>
  <c r="E11" i="10"/>
  <c r="F11" i="10" s="1"/>
  <c r="G14" i="9"/>
  <c r="B21" i="11"/>
  <c r="E21" i="11" s="1"/>
  <c r="B14" i="7"/>
  <c r="E14" i="7" s="1"/>
  <c r="G7" i="5"/>
  <c r="B20" i="11"/>
  <c r="E20" i="11" s="1"/>
  <c r="G13" i="9"/>
  <c r="G15" i="9"/>
  <c r="B22" i="11"/>
  <c r="E22" i="11" s="1"/>
  <c r="G49" i="10" l="1"/>
  <c r="H49" i="10"/>
  <c r="G70" i="10"/>
  <c r="H70" i="10"/>
  <c r="H26" i="10"/>
  <c r="G26" i="10"/>
  <c r="H26" i="6"/>
  <c r="G26" i="6"/>
  <c r="E26" i="7"/>
  <c r="G30" i="6"/>
  <c r="H30" i="6"/>
  <c r="H12" i="6"/>
  <c r="G12" i="6"/>
  <c r="H59" i="10"/>
  <c r="G59" i="10"/>
  <c r="G14" i="10"/>
  <c r="H14" i="10"/>
  <c r="G78" i="10"/>
  <c r="H78" i="10"/>
  <c r="G65" i="10"/>
  <c r="H65" i="10"/>
  <c r="H56" i="10"/>
  <c r="G56" i="10"/>
  <c r="H39" i="10"/>
  <c r="G39" i="10"/>
  <c r="H5" i="10"/>
  <c r="G5" i="10"/>
  <c r="H69" i="10"/>
  <c r="G69" i="10"/>
  <c r="G52" i="10"/>
  <c r="H52" i="10"/>
  <c r="H34" i="10"/>
  <c r="G34" i="10"/>
  <c r="H66" i="6"/>
  <c r="G66" i="6"/>
  <c r="H58" i="6"/>
  <c r="G58" i="6"/>
  <c r="H35" i="6"/>
  <c r="G35" i="6"/>
  <c r="H33" i="6"/>
  <c r="G33" i="6"/>
  <c r="G8" i="6"/>
  <c r="H8" i="6"/>
  <c r="G71" i="6"/>
  <c r="H71" i="6"/>
  <c r="H55" i="6"/>
  <c r="G55" i="6"/>
  <c r="G38" i="6"/>
  <c r="H38" i="6"/>
  <c r="H37" i="6"/>
  <c r="G37" i="6"/>
  <c r="H20" i="6"/>
  <c r="G20" i="6"/>
  <c r="H77" i="6"/>
  <c r="G77" i="6"/>
  <c r="H43" i="10"/>
  <c r="G43" i="10"/>
  <c r="G44" i="10"/>
  <c r="H44" i="10"/>
  <c r="H27" i="6"/>
  <c r="G27" i="6"/>
  <c r="H64" i="6"/>
  <c r="G64" i="6"/>
  <c r="H29" i="6"/>
  <c r="G29" i="6"/>
  <c r="G22" i="10"/>
  <c r="H22" i="10"/>
  <c r="G9" i="10"/>
  <c r="H9" i="10"/>
  <c r="G73" i="10"/>
  <c r="H73" i="10"/>
  <c r="H64" i="10"/>
  <c r="G64" i="10"/>
  <c r="H47" i="10"/>
  <c r="G47" i="10"/>
  <c r="H13" i="10"/>
  <c r="G13" i="10"/>
  <c r="H77" i="10"/>
  <c r="G77" i="10"/>
  <c r="G60" i="10"/>
  <c r="H60" i="10"/>
  <c r="H42" i="10"/>
  <c r="G42" i="10"/>
  <c r="H34" i="6"/>
  <c r="G34" i="6"/>
  <c r="H72" i="6"/>
  <c r="G72" i="6"/>
  <c r="H43" i="6"/>
  <c r="G43" i="6"/>
  <c r="H41" i="6"/>
  <c r="G41" i="6"/>
  <c r="H16" i="6"/>
  <c r="G16" i="6"/>
  <c r="H75" i="6"/>
  <c r="G75" i="6"/>
  <c r="H63" i="6"/>
  <c r="G63" i="6"/>
  <c r="G46" i="6"/>
  <c r="H46" i="6"/>
  <c r="H45" i="6"/>
  <c r="G45" i="6"/>
  <c r="H28" i="6"/>
  <c r="G28" i="6"/>
  <c r="G6" i="10"/>
  <c r="H6" i="10"/>
  <c r="H61" i="10"/>
  <c r="G61" i="10"/>
  <c r="H25" i="6"/>
  <c r="G25" i="6"/>
  <c r="H47" i="6"/>
  <c r="G47" i="6"/>
  <c r="G78" i="6"/>
  <c r="H78" i="6"/>
  <c r="H75" i="10"/>
  <c r="G75" i="10"/>
  <c r="F3" i="10"/>
  <c r="E80" i="10"/>
  <c r="G30" i="10"/>
  <c r="H30" i="10"/>
  <c r="G17" i="10"/>
  <c r="H17" i="10"/>
  <c r="H8" i="10"/>
  <c r="G8" i="10"/>
  <c r="H72" i="10"/>
  <c r="G72" i="10"/>
  <c r="H55" i="10"/>
  <c r="G55" i="10"/>
  <c r="H21" i="10"/>
  <c r="G21" i="10"/>
  <c r="G4" i="10"/>
  <c r="H4" i="10"/>
  <c r="G68" i="10"/>
  <c r="H68" i="10"/>
  <c r="H50" i="10"/>
  <c r="G50" i="10"/>
  <c r="E80" i="6"/>
  <c r="F3" i="6"/>
  <c r="G19" i="5"/>
  <c r="H51" i="6"/>
  <c r="G51" i="6"/>
  <c r="H49" i="6"/>
  <c r="G49" i="6"/>
  <c r="H24" i="6"/>
  <c r="G24" i="6"/>
  <c r="H7" i="6"/>
  <c r="G7" i="6"/>
  <c r="H74" i="6"/>
  <c r="G74" i="6"/>
  <c r="G54" i="6"/>
  <c r="H54" i="6"/>
  <c r="H53" i="6"/>
  <c r="G53" i="6"/>
  <c r="H36" i="6"/>
  <c r="G36" i="6"/>
  <c r="H40" i="10"/>
  <c r="G40" i="10"/>
  <c r="H31" i="10"/>
  <c r="G31" i="10"/>
  <c r="H19" i="10"/>
  <c r="G19" i="10"/>
  <c r="G25" i="10"/>
  <c r="H25" i="10"/>
  <c r="H63" i="10"/>
  <c r="G63" i="10"/>
  <c r="G76" i="10"/>
  <c r="H76" i="10"/>
  <c r="H10" i="6"/>
  <c r="G10" i="6"/>
  <c r="H5" i="6"/>
  <c r="G5" i="6"/>
  <c r="H59" i="6"/>
  <c r="G59" i="6"/>
  <c r="H57" i="6"/>
  <c r="G57" i="6"/>
  <c r="H32" i="6"/>
  <c r="G32" i="6"/>
  <c r="H15" i="6"/>
  <c r="G15" i="6"/>
  <c r="G79" i="6"/>
  <c r="H79" i="6"/>
  <c r="G62" i="6"/>
  <c r="H62" i="6"/>
  <c r="H61" i="6"/>
  <c r="G61" i="6"/>
  <c r="H44" i="6"/>
  <c r="G44" i="6"/>
  <c r="H27" i="10"/>
  <c r="G27" i="10"/>
  <c r="G57" i="10"/>
  <c r="H57" i="10"/>
  <c r="G38" i="10"/>
  <c r="H38" i="10"/>
  <c r="H16" i="10"/>
  <c r="G16" i="10"/>
  <c r="H29" i="10"/>
  <c r="G29" i="10"/>
  <c r="H58" i="10"/>
  <c r="G58" i="10"/>
  <c r="H35" i="10"/>
  <c r="G35" i="10"/>
  <c r="G46" i="10"/>
  <c r="H46" i="10"/>
  <c r="G33" i="10"/>
  <c r="H33" i="10"/>
  <c r="H24" i="10"/>
  <c r="G24" i="10"/>
  <c r="H7" i="10"/>
  <c r="G7" i="10"/>
  <c r="H71" i="10"/>
  <c r="G71" i="10"/>
  <c r="H37" i="10"/>
  <c r="G37" i="10"/>
  <c r="G20" i="10"/>
  <c r="H20" i="10"/>
  <c r="G19" i="9"/>
  <c r="H66" i="10"/>
  <c r="G66" i="10"/>
  <c r="H42" i="6"/>
  <c r="G42" i="6"/>
  <c r="H67" i="6"/>
  <c r="G67" i="6"/>
  <c r="H65" i="6"/>
  <c r="G65" i="6"/>
  <c r="H40" i="6"/>
  <c r="G40" i="6"/>
  <c r="H23" i="6"/>
  <c r="G23" i="6"/>
  <c r="G6" i="6"/>
  <c r="H6" i="6"/>
  <c r="H70" i="6"/>
  <c r="G70" i="6"/>
  <c r="H69" i="6"/>
  <c r="G69" i="6"/>
  <c r="H52" i="6"/>
  <c r="G52" i="6"/>
  <c r="G62" i="10"/>
  <c r="H62" i="10"/>
  <c r="H48" i="10"/>
  <c r="G48" i="10"/>
  <c r="E26" i="11"/>
  <c r="G12" i="10"/>
  <c r="H12" i="10"/>
  <c r="H11" i="10"/>
  <c r="G11" i="10"/>
  <c r="H51" i="10"/>
  <c r="G51" i="10"/>
  <c r="G54" i="10"/>
  <c r="H54" i="10"/>
  <c r="G41" i="10"/>
  <c r="H41" i="10"/>
  <c r="H32" i="10"/>
  <c r="G32" i="10"/>
  <c r="H15" i="10"/>
  <c r="G15" i="10"/>
  <c r="H79" i="10"/>
  <c r="G79" i="10"/>
  <c r="H45" i="10"/>
  <c r="G45" i="10"/>
  <c r="G28" i="10"/>
  <c r="H28" i="10"/>
  <c r="H10" i="10"/>
  <c r="G10" i="10"/>
  <c r="H74" i="10"/>
  <c r="G74" i="10"/>
  <c r="H18" i="6"/>
  <c r="G18" i="6"/>
  <c r="H11" i="6"/>
  <c r="G11" i="6"/>
  <c r="H9" i="6"/>
  <c r="G9" i="6"/>
  <c r="H76" i="6"/>
  <c r="G76" i="6"/>
  <c r="H48" i="6"/>
  <c r="G48" i="6"/>
  <c r="H31" i="6"/>
  <c r="G31" i="6"/>
  <c r="G14" i="6"/>
  <c r="H14" i="6"/>
  <c r="H13" i="6"/>
  <c r="G13" i="6"/>
  <c r="H73" i="6"/>
  <c r="G73" i="6"/>
  <c r="H60" i="6"/>
  <c r="G60" i="6"/>
  <c r="H67" i="10"/>
  <c r="G67" i="10"/>
  <c r="H23" i="10"/>
  <c r="G23" i="10"/>
  <c r="H53" i="10"/>
  <c r="G53" i="10"/>
  <c r="G36" i="10"/>
  <c r="H36" i="10"/>
  <c r="H18" i="10"/>
  <c r="G18" i="10"/>
  <c r="H50" i="6"/>
  <c r="G50" i="6"/>
  <c r="H19" i="6"/>
  <c r="G19" i="6"/>
  <c r="H17" i="6"/>
  <c r="G17" i="6"/>
  <c r="H56" i="6"/>
  <c r="G56" i="6"/>
  <c r="H39" i="6"/>
  <c r="G39" i="6"/>
  <c r="G22" i="6"/>
  <c r="H22" i="6"/>
  <c r="H21" i="6"/>
  <c r="G21" i="6"/>
  <c r="H4" i="6"/>
  <c r="G4" i="6"/>
  <c r="H68" i="6"/>
  <c r="G68" i="6"/>
  <c r="F80" i="10" l="1"/>
  <c r="H3" i="10"/>
  <c r="G3" i="10"/>
  <c r="G80" i="10" s="1"/>
  <c r="F80" i="6"/>
  <c r="H3" i="6"/>
  <c r="G3" i="6"/>
  <c r="G80" i="6" s="1"/>
</calcChain>
</file>

<file path=xl/sharedStrings.xml><?xml version="1.0" encoding="utf-8"?>
<sst xmlns="http://schemas.openxmlformats.org/spreadsheetml/2006/main" count="415" uniqueCount="187">
  <si>
    <t xml:space="preserve">  Polynomial Regression — Step-by-Step Workbook (fully formula-driven)</t>
  </si>
  <si>
    <t>Ld_uH and Lq_uH as f(Id_ref, Iq_ref)  |  Degree-4 polynomial  |  Every value computed from cross-sheet formulas</t>
  </si>
  <si>
    <t>Sheet</t>
  </si>
  <si>
    <t>What it shows</t>
  </si>
  <si>
    <t>Raw_Data</t>
  </si>
  <si>
    <t>The 77 original measurements.  All other sheets pull from here.</t>
  </si>
  <si>
    <t>Step1_Features</t>
  </si>
  <si>
    <t>15 polynomial feature columns computed from Id &amp; Iq via formulas (=B4^2 etc).</t>
  </si>
  <si>
    <t>Step2_Ld_XtX</t>
  </si>
  <si>
    <t>XᵀX matrix — each cell = SUMPRODUCT of two feature columns from Step1.  Xᵀy = SUMPRODUCT of feature × Ld.</t>
  </si>
  <si>
    <t>Step3_Ld_Coefs</t>
  </si>
  <si>
    <t>β coefficients via =MMULT(MINVERSE(XᵀX), Xᵀy).  Contributions at example point via =D_coef * F_feature.</t>
  </si>
  <si>
    <t>Step4_Ld_Preds</t>
  </si>
  <si>
    <t>Predicted Ld per row = SUMPRODUCT(coefficients, features for that row).  Error = Actual − Predicted.</t>
  </si>
  <si>
    <t>Step5_Ld_Formula</t>
  </si>
  <si>
    <t>Final formula with coefficients pulled from Step3.  Change A6/B6 to evaluate at any point.</t>
  </si>
  <si>
    <t>Step2_Lq_XtX</t>
  </si>
  <si>
    <t>Same as Step2 but Xᵀy uses Lq column from Raw_Data.</t>
  </si>
  <si>
    <t>Step3_Lq_Coefs</t>
  </si>
  <si>
    <t>β coefficients for Lq.</t>
  </si>
  <si>
    <t>Step4_Lq_Preds</t>
  </si>
  <si>
    <t>Predicted Lq per row.</t>
  </si>
  <si>
    <t>Step5_Lq_Formula</t>
  </si>
  <si>
    <t>Final formula for Lq.</t>
  </si>
  <si>
    <t xml:space="preserve">  Raw Data — 77 measurement points</t>
  </si>
  <si>
    <t>Row</t>
  </si>
  <si>
    <t>Id_ref (A)</t>
  </si>
  <si>
    <t>Iq_ref (A)</t>
  </si>
  <si>
    <t>Ld_uH (µH)</t>
  </si>
  <si>
    <t>Lq_uH (µH)</t>
  </si>
  <si>
    <t xml:space="preserve">  Step 1 — Feature Expansion: 15 polynomial terms computed from Id and Iq</t>
  </si>
  <si>
    <t xml:space="preserve">  Inputs (from Raw_Data)</t>
  </si>
  <si>
    <t xml:space="preserve">  Computed features  X  (77 rows × 15 columns)</t>
  </si>
  <si>
    <t>Id_ref</t>
  </si>
  <si>
    <t>Iq_ref</t>
  </si>
  <si>
    <t>1 (constant)</t>
  </si>
  <si>
    <t>Id</t>
  </si>
  <si>
    <t>Iq</t>
  </si>
  <si>
    <t>Id²</t>
  </si>
  <si>
    <t>Id·Iq</t>
  </si>
  <si>
    <t>Iq²</t>
  </si>
  <si>
    <t>Id³</t>
  </si>
  <si>
    <t>Id²·Iq</t>
  </si>
  <si>
    <t>Id·Iq²</t>
  </si>
  <si>
    <t>Iq³</t>
  </si>
  <si>
    <t>Id⁴</t>
  </si>
  <si>
    <t>Id³·Iq</t>
  </si>
  <si>
    <t>Id²·Iq²</t>
  </si>
  <si>
    <t>Id·Iq³</t>
  </si>
  <si>
    <t>Iq⁴</t>
  </si>
  <si>
    <t xml:space="preserve">  Step 2 — XᵀX matrix (15×15) for Ld fit  |  Each cell = SUMPRODUCT of two feature columns from Step1</t>
  </si>
  <si>
    <t xml:space="preserve">  Feature</t>
  </si>
  <si>
    <t xml:space="preserve">  XᵀX — every cell =SUMPRODUCT(col_i of Step1, col_j of Step1)</t>
  </si>
  <si>
    <t>Feature</t>
  </si>
  <si>
    <t xml:space="preserve">  Xᵀy vector (15×1) — SUMPRODUCT of each feature column with measured Ld</t>
  </si>
  <si>
    <t>XᵀLd  (=SUMPRODUCT(feature col, Ld col))</t>
  </si>
  <si>
    <t>Formula shown explicitly</t>
  </si>
  <si>
    <t>SUMPRODUCT( Step1_Features col D  ×  Raw_Data col D )  — rows 3:79</t>
  </si>
  <si>
    <t>SUMPRODUCT( Step1_Features col E  ×  Raw_Data col D )  — rows 3:79</t>
  </si>
  <si>
    <t>SUMPRODUCT( Step1_Features col F  ×  Raw_Data col D )  — rows 3:79</t>
  </si>
  <si>
    <t>SUMPRODUCT( Step1_Features col G  ×  Raw_Data col D )  — rows 3:79</t>
  </si>
  <si>
    <t>SUMPRODUCT( Step1_Features col H  ×  Raw_Data col D )  — rows 3:79</t>
  </si>
  <si>
    <t>SUMPRODUCT( Step1_Features col I  ×  Raw_Data col D )  — rows 3:79</t>
  </si>
  <si>
    <t>SUMPRODUCT( Step1_Features col J  ×  Raw_Data col D )  — rows 3:79</t>
  </si>
  <si>
    <t>SUMPRODUCT( Step1_Features col K  ×  Raw_Data col D )  — rows 3:79</t>
  </si>
  <si>
    <t>SUMPRODUCT( Step1_Features col L  ×  Raw_Data col D )  — rows 3:79</t>
  </si>
  <si>
    <t>SUMPRODUCT( Step1_Features col M  ×  Raw_Data col D )  — rows 3:79</t>
  </si>
  <si>
    <t>SUMPRODUCT( Step1_Features col N  ×  Raw_Data col D )  — rows 3:79</t>
  </si>
  <si>
    <t>SUMPRODUCT( Step1_Features col O  ×  Raw_Data col D )  — rows 3:79</t>
  </si>
  <si>
    <t>SUMPRODUCT( Step1_Features col P  ×  Raw_Data col D )  — rows 3:79</t>
  </si>
  <si>
    <t>SUMPRODUCT( Step1_Features col Q  ×  Raw_Data col D )  — rows 3:79</t>
  </si>
  <si>
    <t>SUMPRODUCT( Step1_Features col R  ×  Raw_Data col D )  — rows 3:79</t>
  </si>
  <si>
    <t xml:space="preserve">  Step 3 — Ld Coefficients β via MMULT(MINVERSE(XᵀX), Xᵀy)</t>
  </si>
  <si>
    <t xml:space="preserve">  β = (XᵀX)⁻¹ · Xᵀy  |  Col D: each β from MMULT/MINVERSE referencing Step2  |  Col F: feature value at example  |  Col G = D × F</t>
  </si>
  <si>
    <t>#</t>
  </si>
  <si>
    <t>Excel expression (A=Id, B=Iq)</t>
  </si>
  <si>
    <t>β coefficient</t>
  </si>
  <si>
    <t>Physical meaning</t>
  </si>
  <si>
    <t>Feature value at Id=−30,Iq=20</t>
  </si>
  <si>
    <t>Contribution (β × feature)</t>
  </si>
  <si>
    <t>1</t>
  </si>
  <si>
    <t>Baseline value at zero current</t>
  </si>
  <si>
    <t>A</t>
  </si>
  <si>
    <t>Linear sensitivity to d-axis current</t>
  </si>
  <si>
    <t>B</t>
  </si>
  <si>
    <t>Linear sensitivity to q-axis current</t>
  </si>
  <si>
    <t>A^2</t>
  </si>
  <si>
    <t>Quadratic self-saturation — Id</t>
  </si>
  <si>
    <t>A*B</t>
  </si>
  <si>
    <t>Cross-saturation (Id × Iq)</t>
  </si>
  <si>
    <t>B^2</t>
  </si>
  <si>
    <t>Quadratic self-saturation — Iq</t>
  </si>
  <si>
    <t>A^3</t>
  </si>
  <si>
    <t>Cubic correction — Id</t>
  </si>
  <si>
    <t>A^2*B</t>
  </si>
  <si>
    <t>Cubic cross-term Id²·Iq</t>
  </si>
  <si>
    <t>A*B^2</t>
  </si>
  <si>
    <t>Cubic cross-term Id·Iq²</t>
  </si>
  <si>
    <t>B^3</t>
  </si>
  <si>
    <t>Cubic correction — Iq</t>
  </si>
  <si>
    <t>A^4</t>
  </si>
  <si>
    <t>4th-order correction — Id</t>
  </si>
  <si>
    <t>A^3*B</t>
  </si>
  <si>
    <t>4th-order cross-term Id³·Iq</t>
  </si>
  <si>
    <t>A^2*B^2</t>
  </si>
  <si>
    <t>4th-order cross-term Id²·Iq²</t>
  </si>
  <si>
    <t>A*B^3</t>
  </si>
  <si>
    <t>4th-order cross-term Id·Iq³</t>
  </si>
  <si>
    <t>B^4</t>
  </si>
  <si>
    <t>4th-order correction — Iq</t>
  </si>
  <si>
    <t>TOTAL</t>
  </si>
  <si>
    <t xml:space="preserve">  Example at Id=−30 A, Iq=20 A.  Col G total = predicted value.</t>
  </si>
  <si>
    <t xml:space="preserve">  Step 4 — Ld Predictions and Residuals (all 77 rows)</t>
  </si>
  <si>
    <t>Actual Ld (µH)</t>
  </si>
  <si>
    <t>Predicted Ld (µH)</t>
  </si>
  <si>
    <t>Error (µH)</t>
  </si>
  <si>
    <t>Squared Error</t>
  </si>
  <si>
    <t>% Error</t>
  </si>
  <si>
    <t>Summary</t>
  </si>
  <si>
    <t>n = 77</t>
  </si>
  <si>
    <t xml:space="preserve">  Error colour: green shading on all error cells (col F).  Use conditional formatting in Excel to add red/amber thresholds.</t>
  </si>
  <si>
    <t xml:space="preserve">  Step 5 — Final Excel Formula for Ld_uH = f(Id_ref, Iq_ref)</t>
  </si>
  <si>
    <t xml:space="preserve">  Enter Id_ref in A6, Iq_ref in B6. Formula in C6 references coefficients from Step3.</t>
  </si>
  <si>
    <t>Cross-check vs Step4</t>
  </si>
  <si>
    <t>Note</t>
  </si>
  <si>
    <t>← C6 and D6 must match. C6 uses explicit terms; D6 uses SUMPRODUCT.</t>
  </si>
  <si>
    <t>→ helper features:</t>
  </si>
  <si>
    <t xml:space="preserve">  Term-by-term breakdown — coefficients pulled live from Step3_Ld_Coefs</t>
  </si>
  <si>
    <t>β coefficient (from Step3 col D)</t>
  </si>
  <si>
    <t>Excel term in formula</t>
  </si>
  <si>
    <t>Value at Id=−30, Iq=20</t>
  </si>
  <si>
    <t>β × feature value</t>
  </si>
  <si>
    <t>'Step3_Ld_Coefs'!D4*1</t>
  </si>
  <si>
    <t>'Step3_Ld_Coefs'!D5*A6</t>
  </si>
  <si>
    <t>'Step3_Ld_Coefs'!D6*B6</t>
  </si>
  <si>
    <t>'Step3_Ld_Coefs'!D7*A6^2</t>
  </si>
  <si>
    <t>'Step3_Ld_Coefs'!D8*A6*B6</t>
  </si>
  <si>
    <t>'Step3_Ld_Coefs'!D9*B6^2</t>
  </si>
  <si>
    <t>'Step3_Ld_Coefs'!D10*A6^3</t>
  </si>
  <si>
    <t>'Step3_Ld_Coefs'!D11*A6^2*B6</t>
  </si>
  <si>
    <t>'Step3_Ld_Coefs'!D12*A6*B6^2</t>
  </si>
  <si>
    <t>'Step3_Ld_Coefs'!D13*B6^3</t>
  </si>
  <si>
    <t>'Step3_Ld_Coefs'!D14*A6^4</t>
  </si>
  <si>
    <t>'Step3_Ld_Coefs'!D15*A6^3*B6</t>
  </si>
  <si>
    <t>'Step3_Ld_Coefs'!D16*A6^2*B6^2</t>
  </si>
  <si>
    <t>'Step3_Ld_Coefs'!D17*A6*B6^3</t>
  </si>
  <si>
    <t>'Step3_Ld_Coefs'!D18*B6^4</t>
  </si>
  <si>
    <t>Total</t>
  </si>
  <si>
    <t xml:space="preserve">  Step 2 — XᵀX matrix (15×15) for Lq fit  |  Each cell = SUMPRODUCT of two feature columns from Step1</t>
  </si>
  <si>
    <t xml:space="preserve">  Xᵀy vector (15×1) — SUMPRODUCT of each feature column with measured Lq</t>
  </si>
  <si>
    <t>XᵀLq  (=SUMPRODUCT(feature col, Lq col))</t>
  </si>
  <si>
    <t>SUMPRODUCT( Step1_Features col D  ×  Raw_Data col E )  — rows 3:79</t>
  </si>
  <si>
    <t>SUMPRODUCT( Step1_Features col E  ×  Raw_Data col E )  — rows 3:79</t>
  </si>
  <si>
    <t>SUMPRODUCT( Step1_Features col F  ×  Raw_Data col E )  — rows 3:79</t>
  </si>
  <si>
    <t>SUMPRODUCT( Step1_Features col G  ×  Raw_Data col E )  — rows 3:79</t>
  </si>
  <si>
    <t>SUMPRODUCT( Step1_Features col H  ×  Raw_Data col E )  — rows 3:79</t>
  </si>
  <si>
    <t>SUMPRODUCT( Step1_Features col I  ×  Raw_Data col E )  — rows 3:79</t>
  </si>
  <si>
    <t>SUMPRODUCT( Step1_Features col J  ×  Raw_Data col E )  — rows 3:79</t>
  </si>
  <si>
    <t>SUMPRODUCT( Step1_Features col K  ×  Raw_Data col E )  — rows 3:79</t>
  </si>
  <si>
    <t>SUMPRODUCT( Step1_Features col L  ×  Raw_Data col E )  — rows 3:79</t>
  </si>
  <si>
    <t>SUMPRODUCT( Step1_Features col M  ×  Raw_Data col E )  — rows 3:79</t>
  </si>
  <si>
    <t>SUMPRODUCT( Step1_Features col N  ×  Raw_Data col E )  — rows 3:79</t>
  </si>
  <si>
    <t>SUMPRODUCT( Step1_Features col O  ×  Raw_Data col E )  — rows 3:79</t>
  </si>
  <si>
    <t>SUMPRODUCT( Step1_Features col P  ×  Raw_Data col E )  — rows 3:79</t>
  </si>
  <si>
    <t>SUMPRODUCT( Step1_Features col Q  ×  Raw_Data col E )  — rows 3:79</t>
  </si>
  <si>
    <t>SUMPRODUCT( Step1_Features col R  ×  Raw_Data col E )  — rows 3:79</t>
  </si>
  <si>
    <t xml:space="preserve">  Step 3 — Lq Coefficients β via MMULT(MINVERSE(XᵀX), Xᵀy)</t>
  </si>
  <si>
    <t xml:space="preserve">  Step 4 — Lq Predictions and Residuals (all 77 rows)</t>
  </si>
  <si>
    <t>Actual Lq (µH)</t>
  </si>
  <si>
    <t>Predicted Lq (µH)</t>
  </si>
  <si>
    <t xml:space="preserve">  Step 5 — Final Excel Formula for Lq_uH = f(Id_ref, Iq_ref)</t>
  </si>
  <si>
    <t xml:space="preserve">  Term-by-term breakdown — coefficients pulled live from Step3_Lq_Coefs</t>
  </si>
  <si>
    <t>'Step3_Lq_Coefs'!D4*1</t>
  </si>
  <si>
    <t>'Step3_Lq_Coefs'!D5*A6</t>
  </si>
  <si>
    <t>'Step3_Lq_Coefs'!D6*B6</t>
  </si>
  <si>
    <t>'Step3_Lq_Coefs'!D7*A6^2</t>
  </si>
  <si>
    <t>'Step3_Lq_Coefs'!D8*A6*B6</t>
  </si>
  <si>
    <t>'Step3_Lq_Coefs'!D9*B6^2</t>
  </si>
  <si>
    <t>'Step3_Lq_Coefs'!D10*A6^3</t>
  </si>
  <si>
    <t>'Step3_Lq_Coefs'!D11*A6^2*B6</t>
  </si>
  <si>
    <t>'Step3_Lq_Coefs'!D12*A6*B6^2</t>
  </si>
  <si>
    <t>'Step3_Lq_Coefs'!D13*B6^3</t>
  </si>
  <si>
    <t>'Step3_Lq_Coefs'!D14*A6^4</t>
  </si>
  <si>
    <t>'Step3_Lq_Coefs'!D15*A6^3*B6</t>
  </si>
  <si>
    <t>'Step3_Lq_Coefs'!D16*A6^2*B6^2</t>
  </si>
  <si>
    <t>'Step3_Lq_Coefs'!D17*A6*B6^3</t>
  </si>
  <si>
    <t>'Step3_Lq_Coefs'!D18*B6^4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</si>
</sst>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0.0000"/>
    <numFmt numFmtId="166" formatCode="0.000000000000"/>
    <numFmt numFmtId="167" formatCode="&quot;R²=&quot;0.000000"/>
    <numFmt numFmtId="168" formatCode="&quot;Max |err|=&quot;0.0000&quot; µH&quot;"/>
    <numFmt numFmtId="169" formatCode="&quot;RMSE=&quot;0.0000&quot; µH&quot;"/>
    <numFmt numFmtId="170" formatCode="0.000"/>
    <numFmt numFmtId="171" formatCode="0.00000E+00"/>
    <numFmt numFmtId="172" formatCode="0.0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59595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7030A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375623"/>
      <name val="Arial"/>
      <family val="2"/>
    </font>
    <font>
      <i/>
      <sz val="9"/>
      <color rgb="FF595959"/>
      <name val="Arial"/>
      <family val="2"/>
    </font>
    <font>
      <b/>
      <sz val="10"/>
      <color rgb="FF0070C0"/>
      <name val="Arial"/>
      <family val="2"/>
    </font>
    <font>
      <sz val="8"/>
      <color rgb="FFBFBFBF"/>
      <name val="Arial"/>
      <family val="2"/>
    </font>
    <font>
      <b/>
      <sz val="10"/>
      <color rgb="FFAAAAA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D6B5A"/>
      </patternFill>
    </fill>
    <fill>
      <patternFill patternType="solid">
        <fgColor rgb="FF2E75B6"/>
        <bgColor rgb="FF0070C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2E8B6F"/>
        <bgColor rgb="FF1D6B5A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C6EFCE"/>
      </patternFill>
    </fill>
    <fill>
      <patternFill patternType="solid">
        <fgColor rgb="FFE2EFDA"/>
        <bgColor rgb="FFDEEAF1"/>
      </patternFill>
    </fill>
    <fill>
      <patternFill patternType="solid">
        <fgColor rgb="FF1D6B5A"/>
        <bgColor rgb="FF1F4E79"/>
      </patternFill>
    </fill>
    <fill>
      <patternFill patternType="solid">
        <fgColor rgb="FFC6EFCE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1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6" fontId="4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165" fontId="10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7" fontId="6" fillId="8" borderId="1" xfId="0" applyNumberFormat="1" applyFont="1" applyFill="1" applyBorder="1" applyAlignment="1">
      <alignment horizontal="center" vertical="center"/>
    </xf>
    <xf numFmtId="168" fontId="4" fillId="8" borderId="1" xfId="0" applyNumberFormat="1" applyFont="1" applyFill="1" applyBorder="1" applyAlignment="1">
      <alignment horizontal="center" vertical="center"/>
    </xf>
    <xf numFmtId="169" fontId="6" fillId="8" borderId="1" xfId="0" applyNumberFormat="1" applyFont="1" applyFill="1" applyBorder="1" applyAlignment="1">
      <alignment horizontal="center" vertical="center"/>
    </xf>
    <xf numFmtId="170" fontId="12" fillId="7" borderId="1" xfId="0" applyNumberFormat="1" applyFont="1" applyFill="1" applyBorder="1" applyAlignment="1">
      <alignment horizontal="center" vertical="center"/>
    </xf>
    <xf numFmtId="170" fontId="10" fillId="9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3" fillId="0" borderId="0" xfId="0" applyFont="1"/>
    <xf numFmtId="0" fontId="3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1" fontId="4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166" fontId="4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7" fontId="6" fillId="11" borderId="1" xfId="0" applyNumberFormat="1" applyFont="1" applyFill="1" applyBorder="1" applyAlignment="1">
      <alignment horizontal="center" vertical="center"/>
    </xf>
    <xf numFmtId="168" fontId="4" fillId="11" borderId="1" xfId="0" applyNumberFormat="1" applyFont="1" applyFill="1" applyBorder="1" applyAlignment="1">
      <alignment horizontal="center" vertical="center"/>
    </xf>
    <xf numFmtId="169" fontId="6" fillId="11" borderId="1" xfId="0" applyNumberFormat="1" applyFont="1" applyFill="1" applyBorder="1" applyAlignment="1">
      <alignment horizontal="center" vertical="center"/>
    </xf>
    <xf numFmtId="171" fontId="6" fillId="8" borderId="1" xfId="0" applyNumberFormat="1" applyFont="1" applyFill="1" applyBorder="1" applyAlignment="1">
      <alignment horizontal="left" vertical="center"/>
    </xf>
    <xf numFmtId="171" fontId="4" fillId="8" borderId="1" xfId="0" applyNumberFormat="1" applyFont="1" applyFill="1" applyBorder="1" applyAlignment="1">
      <alignment horizontal="center" vertical="center"/>
    </xf>
    <xf numFmtId="171" fontId="4" fillId="7" borderId="1" xfId="0" applyNumberFormat="1" applyFont="1" applyFill="1" applyBorder="1" applyAlignment="1">
      <alignment horizontal="center" vertical="center"/>
    </xf>
    <xf numFmtId="171" fontId="0" fillId="0" borderId="0" xfId="0" applyNumberFormat="1"/>
    <xf numFmtId="171" fontId="4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172" fontId="13" fillId="0" borderId="0" xfId="0" applyNumberFormat="1" applyFont="1"/>
    <xf numFmtId="172" fontId="4" fillId="7" borderId="1" xfId="0" applyNumberFormat="1" applyFont="1" applyFill="1" applyBorder="1" applyAlignment="1">
      <alignment horizontal="center" vertical="center"/>
    </xf>
    <xf numFmtId="172" fontId="4" fillId="4" borderId="1" xfId="0" applyNumberFormat="1" applyFont="1" applyFill="1" applyBorder="1" applyAlignment="1">
      <alignment horizontal="center" vertical="center"/>
    </xf>
    <xf numFmtId="171" fontId="6" fillId="11" borderId="1" xfId="0" applyNumberFormat="1" applyFont="1" applyFill="1" applyBorder="1" applyAlignment="1">
      <alignment horizontal="left" vertical="center"/>
    </xf>
    <xf numFmtId="171" fontId="4" fillId="11" borderId="1" xfId="0" applyNumberFormat="1" applyFont="1" applyFill="1" applyBorder="1" applyAlignment="1">
      <alignment horizontal="center" vertical="center"/>
    </xf>
    <xf numFmtId="171" fontId="4" fillId="9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4" fillId="9" borderId="0" xfId="0" applyFont="1" applyFill="1" applyBorder="1" applyAlignment="1">
      <alignment horizontal="left" vertical="center" wrapText="1"/>
    </xf>
    <xf numFmtId="172" fontId="4" fillId="9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5A"/>
      <rgbColor rgb="FFBFBFBF"/>
      <rgbColor rgb="FF808080"/>
      <rgbColor rgb="FF9999FF"/>
      <rgbColor rgb="FF7030A0"/>
      <rgbColor rgb="FFF2F2F2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8B6F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B24" sqref="B24"/>
    </sheetView>
  </sheetViews>
  <sheetFormatPr defaultColWidth="8.7109375" defaultRowHeight="15" x14ac:dyDescent="0.25"/>
  <cols>
    <col min="1" max="1" width="30" customWidth="1"/>
    <col min="2" max="2" width="72" customWidth="1"/>
  </cols>
  <sheetData>
    <row r="1" spans="1:2" ht="18" customHeight="1" x14ac:dyDescent="0.25">
      <c r="A1" s="6" t="s">
        <v>0</v>
      </c>
      <c r="B1" s="6"/>
    </row>
    <row r="2" spans="1:2" ht="15" customHeight="1" x14ac:dyDescent="0.25">
      <c r="A2" s="5" t="s">
        <v>1</v>
      </c>
      <c r="B2" s="5"/>
    </row>
    <row r="4" spans="1:2" ht="15" customHeight="1" x14ac:dyDescent="0.25">
      <c r="A4" s="7" t="s">
        <v>2</v>
      </c>
      <c r="B4" s="8" t="s">
        <v>3</v>
      </c>
    </row>
    <row r="5" spans="1:2" ht="24.95" customHeight="1" x14ac:dyDescent="0.25">
      <c r="A5" s="9" t="s">
        <v>4</v>
      </c>
      <c r="B5" s="10" t="s">
        <v>5</v>
      </c>
    </row>
    <row r="6" spans="1:2" ht="24.95" customHeight="1" x14ac:dyDescent="0.25">
      <c r="A6" s="11" t="s">
        <v>6</v>
      </c>
      <c r="B6" s="12" t="s">
        <v>7</v>
      </c>
    </row>
    <row r="7" spans="1:2" ht="24.95" customHeight="1" x14ac:dyDescent="0.25">
      <c r="A7" s="9" t="s">
        <v>8</v>
      </c>
      <c r="B7" s="10" t="s">
        <v>9</v>
      </c>
    </row>
    <row r="8" spans="1:2" ht="24.95" customHeight="1" x14ac:dyDescent="0.25">
      <c r="A8" s="11" t="s">
        <v>10</v>
      </c>
      <c r="B8" s="12" t="s">
        <v>11</v>
      </c>
    </row>
    <row r="9" spans="1:2" ht="24.95" customHeight="1" x14ac:dyDescent="0.25">
      <c r="A9" s="9" t="s">
        <v>12</v>
      </c>
      <c r="B9" s="10" t="s">
        <v>13</v>
      </c>
    </row>
    <row r="10" spans="1:2" ht="24.95" customHeight="1" x14ac:dyDescent="0.25">
      <c r="A10" s="11" t="s">
        <v>14</v>
      </c>
      <c r="B10" s="12" t="s">
        <v>15</v>
      </c>
    </row>
    <row r="11" spans="1:2" ht="24.95" customHeight="1" x14ac:dyDescent="0.25">
      <c r="A11" s="9" t="s">
        <v>16</v>
      </c>
      <c r="B11" s="10" t="s">
        <v>17</v>
      </c>
    </row>
    <row r="12" spans="1:2" ht="24.95" customHeight="1" x14ac:dyDescent="0.25">
      <c r="A12" s="11" t="s">
        <v>18</v>
      </c>
      <c r="B12" s="12" t="s">
        <v>19</v>
      </c>
    </row>
    <row r="13" spans="1:2" ht="24.95" customHeight="1" x14ac:dyDescent="0.25">
      <c r="A13" s="9" t="s">
        <v>20</v>
      </c>
      <c r="B13" s="10" t="s">
        <v>21</v>
      </c>
    </row>
    <row r="14" spans="1:2" ht="24.95" customHeight="1" x14ac:dyDescent="0.25">
      <c r="A14" s="11" t="s">
        <v>22</v>
      </c>
      <c r="B14" s="12" t="s">
        <v>23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9"/>
  <sheetViews>
    <sheetView zoomScaleNormal="100" workbookViewId="0">
      <pane ySplit="2" topLeftCell="A3" activePane="bottomLeft" state="frozen"/>
      <selection pane="bottomLeft" sqref="A1:E1"/>
    </sheetView>
  </sheetViews>
  <sheetFormatPr defaultColWidth="8.7109375" defaultRowHeight="15" x14ac:dyDescent="0.25"/>
  <cols>
    <col min="1" max="1" width="5" customWidth="1"/>
    <col min="2" max="5" width="14" customWidth="1"/>
  </cols>
  <sheetData>
    <row r="1" spans="1:5" ht="18" customHeight="1" x14ac:dyDescent="0.25">
      <c r="A1" s="6" t="s">
        <v>24</v>
      </c>
      <c r="B1" s="6"/>
      <c r="C1" s="6"/>
      <c r="D1" s="6"/>
      <c r="E1" s="6"/>
    </row>
    <row r="2" spans="1:5" ht="15.75" customHeight="1" x14ac:dyDescent="0.25">
      <c r="A2" s="13" t="s">
        <v>25</v>
      </c>
      <c r="B2" s="13" t="s">
        <v>26</v>
      </c>
      <c r="C2" s="13" t="s">
        <v>27</v>
      </c>
      <c r="D2" s="13" t="s">
        <v>28</v>
      </c>
      <c r="E2" s="13" t="s">
        <v>29</v>
      </c>
    </row>
    <row r="3" spans="1:5" ht="15" customHeight="1" x14ac:dyDescent="0.25">
      <c r="A3" s="14">
        <v>1</v>
      </c>
      <c r="B3" s="15">
        <v>0</v>
      </c>
      <c r="C3" s="15">
        <v>0</v>
      </c>
      <c r="D3" s="15">
        <v>500.415255</v>
      </c>
      <c r="E3" s="15">
        <v>499.06425100000001</v>
      </c>
    </row>
    <row r="4" spans="1:5" ht="15" customHeight="1" x14ac:dyDescent="0.25">
      <c r="A4" s="16">
        <v>2</v>
      </c>
      <c r="B4" s="17">
        <v>0</v>
      </c>
      <c r="C4" s="17">
        <v>0</v>
      </c>
      <c r="D4" s="17">
        <v>501.00861600000002</v>
      </c>
      <c r="E4" s="17">
        <v>498.47148900000002</v>
      </c>
    </row>
    <row r="5" spans="1:5" ht="15" customHeight="1" x14ac:dyDescent="0.25">
      <c r="A5" s="14">
        <v>3</v>
      </c>
      <c r="B5" s="15">
        <v>0</v>
      </c>
      <c r="C5" s="15">
        <v>0</v>
      </c>
      <c r="D5" s="15">
        <v>501.26213000000001</v>
      </c>
      <c r="E5" s="15">
        <v>498.21917200000001</v>
      </c>
    </row>
    <row r="6" spans="1:5" ht="15" customHeight="1" x14ac:dyDescent="0.25">
      <c r="A6" s="16">
        <v>4</v>
      </c>
      <c r="B6" s="17">
        <v>0</v>
      </c>
      <c r="C6" s="17">
        <v>0</v>
      </c>
      <c r="D6" s="17">
        <v>501.10672199999999</v>
      </c>
      <c r="E6" s="17">
        <v>498.37279699999999</v>
      </c>
    </row>
    <row r="7" spans="1:5" ht="15" customHeight="1" x14ac:dyDescent="0.25">
      <c r="A7" s="14">
        <v>5</v>
      </c>
      <c r="B7" s="15">
        <v>0</v>
      </c>
      <c r="C7" s="15">
        <v>0</v>
      </c>
      <c r="D7" s="15">
        <v>500.585286</v>
      </c>
      <c r="E7" s="15">
        <v>498.89410900000001</v>
      </c>
    </row>
    <row r="8" spans="1:5" ht="15" customHeight="1" x14ac:dyDescent="0.25">
      <c r="A8" s="16">
        <v>6</v>
      </c>
      <c r="B8" s="17">
        <v>0</v>
      </c>
      <c r="C8" s="17">
        <v>0</v>
      </c>
      <c r="D8" s="17">
        <v>499.83822400000003</v>
      </c>
      <c r="E8" s="17">
        <v>499.64173399999999</v>
      </c>
    </row>
    <row r="9" spans="1:5" ht="15" customHeight="1" x14ac:dyDescent="0.25">
      <c r="A9" s="14">
        <v>7</v>
      </c>
      <c r="B9" s="15">
        <v>0</v>
      </c>
      <c r="C9" s="15">
        <v>0</v>
      </c>
      <c r="D9" s="15">
        <v>499.064345</v>
      </c>
      <c r="E9" s="15">
        <v>500.41566999999998</v>
      </c>
    </row>
    <row r="10" spans="1:5" ht="15" customHeight="1" x14ac:dyDescent="0.25">
      <c r="A10" s="16">
        <v>8</v>
      </c>
      <c r="B10" s="17">
        <v>0</v>
      </c>
      <c r="C10" s="17">
        <v>10.280355</v>
      </c>
      <c r="D10" s="17">
        <v>499.15295700000001</v>
      </c>
      <c r="E10" s="17">
        <v>497.855209</v>
      </c>
    </row>
    <row r="11" spans="1:5" ht="15" customHeight="1" x14ac:dyDescent="0.25">
      <c r="A11" s="14">
        <v>9</v>
      </c>
      <c r="B11" s="15">
        <v>-2.660752</v>
      </c>
      <c r="C11" s="15">
        <v>9.9300610000000002</v>
      </c>
      <c r="D11" s="15">
        <v>500.50878599999999</v>
      </c>
      <c r="E11" s="15">
        <v>498.09764799999999</v>
      </c>
    </row>
    <row r="12" spans="1:5" ht="15" customHeight="1" x14ac:dyDescent="0.25">
      <c r="A12" s="16">
        <v>10</v>
      </c>
      <c r="B12" s="17">
        <v>-5.1401779999999997</v>
      </c>
      <c r="C12" s="17">
        <v>8.9030489999999993</v>
      </c>
      <c r="D12" s="17">
        <v>501.47484400000002</v>
      </c>
      <c r="E12" s="17">
        <v>498.58683500000001</v>
      </c>
    </row>
    <row r="13" spans="1:5" ht="15" customHeight="1" x14ac:dyDescent="0.25">
      <c r="A13" s="14">
        <v>11</v>
      </c>
      <c r="B13" s="15">
        <v>-7.2693089999999998</v>
      </c>
      <c r="C13" s="15">
        <v>7.2693089999999998</v>
      </c>
      <c r="D13" s="15">
        <v>501.85677299999998</v>
      </c>
      <c r="E13" s="15">
        <v>499.308266</v>
      </c>
    </row>
    <row r="14" spans="1:5" ht="15" customHeight="1" x14ac:dyDescent="0.25">
      <c r="A14" s="16">
        <v>12</v>
      </c>
      <c r="B14" s="17">
        <v>-8.9030489999999993</v>
      </c>
      <c r="C14" s="17">
        <v>5.1401779999999997</v>
      </c>
      <c r="D14" s="17">
        <v>501.77728300000001</v>
      </c>
      <c r="E14" s="17">
        <v>500.23981600000002</v>
      </c>
    </row>
    <row r="15" spans="1:5" ht="15" customHeight="1" x14ac:dyDescent="0.25">
      <c r="A15" s="14">
        <v>13</v>
      </c>
      <c r="B15" s="15">
        <v>-9.9300610000000002</v>
      </c>
      <c r="C15" s="15">
        <v>2.660752</v>
      </c>
      <c r="D15" s="15">
        <v>501.29198100000002</v>
      </c>
      <c r="E15" s="15">
        <v>501.16483299999999</v>
      </c>
    </row>
    <row r="16" spans="1:5" ht="15" customHeight="1" x14ac:dyDescent="0.25">
      <c r="A16" s="16">
        <v>14</v>
      </c>
      <c r="B16" s="17">
        <v>-10.280355</v>
      </c>
      <c r="C16" s="17">
        <v>0</v>
      </c>
      <c r="D16" s="17">
        <v>500.65433000000002</v>
      </c>
      <c r="E16" s="17">
        <v>501.97654899999998</v>
      </c>
    </row>
    <row r="17" spans="1:5" ht="15" customHeight="1" x14ac:dyDescent="0.25">
      <c r="A17" s="14">
        <v>15</v>
      </c>
      <c r="B17" s="15">
        <v>0</v>
      </c>
      <c r="C17" s="15">
        <v>20.560711000000001</v>
      </c>
      <c r="D17" s="15">
        <v>495.52909799999998</v>
      </c>
      <c r="E17" s="15">
        <v>494.59659199999999</v>
      </c>
    </row>
    <row r="18" spans="1:5" ht="15" customHeight="1" x14ac:dyDescent="0.25">
      <c r="A18" s="16">
        <v>16</v>
      </c>
      <c r="B18" s="17">
        <v>-5.321504</v>
      </c>
      <c r="C18" s="17">
        <v>19.860120999999999</v>
      </c>
      <c r="D18" s="17">
        <v>498.125316</v>
      </c>
      <c r="E18" s="17">
        <v>496.02513099999999</v>
      </c>
    </row>
    <row r="19" spans="1:5" ht="15" customHeight="1" x14ac:dyDescent="0.25">
      <c r="A19" s="14">
        <v>17</v>
      </c>
      <c r="B19" s="15">
        <v>-10.280355</v>
      </c>
      <c r="C19" s="15">
        <v>17.806097999999999</v>
      </c>
      <c r="D19" s="15">
        <v>499.84291400000001</v>
      </c>
      <c r="E19" s="15">
        <v>497.171449</v>
      </c>
    </row>
    <row r="20" spans="1:5" ht="15" customHeight="1" x14ac:dyDescent="0.25">
      <c r="A20" s="16">
        <v>18</v>
      </c>
      <c r="B20" s="17">
        <v>-14.538618</v>
      </c>
      <c r="C20" s="17">
        <v>14.538618</v>
      </c>
      <c r="D20" s="17">
        <v>501.02633900000001</v>
      </c>
      <c r="E20" s="17">
        <v>498.53399000000002</v>
      </c>
    </row>
    <row r="21" spans="1:5" ht="15" customHeight="1" x14ac:dyDescent="0.25">
      <c r="A21" s="14">
        <v>19</v>
      </c>
      <c r="B21" s="15">
        <v>-17.806097999999999</v>
      </c>
      <c r="C21" s="15">
        <v>10.280355</v>
      </c>
      <c r="D21" s="15">
        <v>501.520129</v>
      </c>
      <c r="E21" s="15">
        <v>500.09558700000002</v>
      </c>
    </row>
    <row r="22" spans="1:5" ht="15" customHeight="1" x14ac:dyDescent="0.25">
      <c r="A22" s="16">
        <v>20</v>
      </c>
      <c r="B22" s="17">
        <v>-19.860120999999999</v>
      </c>
      <c r="C22" s="17">
        <v>5.321504</v>
      </c>
      <c r="D22" s="17">
        <v>501.44174400000003</v>
      </c>
      <c r="E22" s="17">
        <v>501.44136500000002</v>
      </c>
    </row>
    <row r="23" spans="1:5" ht="15" customHeight="1" x14ac:dyDescent="0.25">
      <c r="A23" s="14">
        <v>21</v>
      </c>
      <c r="B23" s="15">
        <v>-20.560711000000001</v>
      </c>
      <c r="C23" s="15">
        <v>0</v>
      </c>
      <c r="D23" s="15">
        <v>500.93884700000001</v>
      </c>
      <c r="E23" s="15">
        <v>502.33963499999999</v>
      </c>
    </row>
    <row r="24" spans="1:5" ht="15" customHeight="1" x14ac:dyDescent="0.25">
      <c r="A24" s="16">
        <v>22</v>
      </c>
      <c r="B24" s="17">
        <v>0</v>
      </c>
      <c r="C24" s="17">
        <v>30.841066000000001</v>
      </c>
      <c r="D24" s="17">
        <v>490.22663799999998</v>
      </c>
      <c r="E24" s="17">
        <v>489.59395699999999</v>
      </c>
    </row>
    <row r="25" spans="1:5" ht="15" customHeight="1" x14ac:dyDescent="0.25">
      <c r="A25" s="14">
        <v>23</v>
      </c>
      <c r="B25" s="15">
        <v>-7.9822550000000003</v>
      </c>
      <c r="C25" s="15">
        <v>29.790182000000001</v>
      </c>
      <c r="D25" s="15">
        <v>494.89615400000002</v>
      </c>
      <c r="E25" s="15">
        <v>492.92084299999999</v>
      </c>
    </row>
    <row r="26" spans="1:5" ht="15" customHeight="1" x14ac:dyDescent="0.25">
      <c r="A26" s="16">
        <v>24</v>
      </c>
      <c r="B26" s="17">
        <v>-15.420533000000001</v>
      </c>
      <c r="C26" s="17">
        <v>26.709147000000002</v>
      </c>
      <c r="D26" s="17">
        <v>497.504144</v>
      </c>
      <c r="E26" s="17">
        <v>494.78804300000002</v>
      </c>
    </row>
    <row r="27" spans="1:5" ht="15" customHeight="1" x14ac:dyDescent="0.25">
      <c r="A27" s="14">
        <v>25</v>
      </c>
      <c r="B27" s="15">
        <v>-21.807926999999999</v>
      </c>
      <c r="C27" s="15">
        <v>21.807926999999999</v>
      </c>
      <c r="D27" s="15">
        <v>499.44197300000002</v>
      </c>
      <c r="E27" s="15">
        <v>497.068625</v>
      </c>
    </row>
    <row r="28" spans="1:5" ht="15" customHeight="1" x14ac:dyDescent="0.25">
      <c r="A28" s="16">
        <v>26</v>
      </c>
      <c r="B28" s="17">
        <v>-26.709147000000002</v>
      </c>
      <c r="C28" s="17">
        <v>15.420533000000001</v>
      </c>
      <c r="D28" s="17">
        <v>500.66694899999999</v>
      </c>
      <c r="E28" s="17">
        <v>499.251668</v>
      </c>
    </row>
    <row r="29" spans="1:5" ht="15" customHeight="1" x14ac:dyDescent="0.25">
      <c r="A29" s="14">
        <v>27</v>
      </c>
      <c r="B29" s="15">
        <v>-29.790182000000001</v>
      </c>
      <c r="C29" s="15">
        <v>7.9822550000000003</v>
      </c>
      <c r="D29" s="15">
        <v>501.023257</v>
      </c>
      <c r="E29" s="15">
        <v>501.07985000000002</v>
      </c>
    </row>
    <row r="30" spans="1:5" ht="15" customHeight="1" x14ac:dyDescent="0.25">
      <c r="A30" s="16">
        <v>28</v>
      </c>
      <c r="B30" s="17">
        <v>-30.841066000000001</v>
      </c>
      <c r="C30" s="17">
        <v>0</v>
      </c>
      <c r="D30" s="17">
        <v>500.70092099999999</v>
      </c>
      <c r="E30" s="17">
        <v>502.18698799999999</v>
      </c>
    </row>
    <row r="31" spans="1:5" ht="15" customHeight="1" x14ac:dyDescent="0.25">
      <c r="A31" s="14">
        <v>29</v>
      </c>
      <c r="B31" s="15">
        <v>0</v>
      </c>
      <c r="C31" s="15">
        <v>41.121420999999998</v>
      </c>
      <c r="D31" s="15">
        <v>483.98091099999999</v>
      </c>
      <c r="E31" s="15">
        <v>483.59867100000002</v>
      </c>
    </row>
    <row r="32" spans="1:5" ht="15" customHeight="1" x14ac:dyDescent="0.25">
      <c r="A32" s="16">
        <v>30</v>
      </c>
      <c r="B32" s="17">
        <v>-10.643007000000001</v>
      </c>
      <c r="C32" s="17">
        <v>39.720243000000004</v>
      </c>
      <c r="D32" s="17">
        <v>491.16029800000001</v>
      </c>
      <c r="E32" s="17">
        <v>489.60965299999998</v>
      </c>
    </row>
    <row r="33" spans="1:5" ht="15" customHeight="1" x14ac:dyDescent="0.25">
      <c r="A33" s="14">
        <v>31</v>
      </c>
      <c r="B33" s="15">
        <v>-20.560711000000001</v>
      </c>
      <c r="C33" s="15">
        <v>35.612195999999997</v>
      </c>
      <c r="D33" s="15">
        <v>494.63863600000002</v>
      </c>
      <c r="E33" s="15">
        <v>492.21341799999999</v>
      </c>
    </row>
    <row r="34" spans="1:5" ht="15" customHeight="1" x14ac:dyDescent="0.25">
      <c r="A34" s="16">
        <v>32</v>
      </c>
      <c r="B34" s="17">
        <v>-29.077235999999999</v>
      </c>
      <c r="C34" s="17">
        <v>29.077235999999999</v>
      </c>
      <c r="D34" s="17">
        <v>497.253691</v>
      </c>
      <c r="E34" s="17">
        <v>494.95704799999999</v>
      </c>
    </row>
    <row r="35" spans="1:5" ht="15" customHeight="1" x14ac:dyDescent="0.25">
      <c r="A35" s="14">
        <v>33</v>
      </c>
      <c r="B35" s="15">
        <v>-35.612195999999997</v>
      </c>
      <c r="C35" s="15">
        <v>20.560711000000001</v>
      </c>
      <c r="D35" s="15">
        <v>499.18772100000001</v>
      </c>
      <c r="E35" s="15">
        <v>497.95879300000001</v>
      </c>
    </row>
    <row r="36" spans="1:5" ht="15" customHeight="1" x14ac:dyDescent="0.25">
      <c r="A36" s="16">
        <v>34</v>
      </c>
      <c r="B36" s="17">
        <v>-39.720243000000004</v>
      </c>
      <c r="C36" s="17">
        <v>10.643007000000001</v>
      </c>
      <c r="D36" s="17">
        <v>500.208527</v>
      </c>
      <c r="E36" s="17">
        <v>500.26665000000003</v>
      </c>
    </row>
    <row r="37" spans="1:5" ht="15" customHeight="1" x14ac:dyDescent="0.25">
      <c r="A37" s="14">
        <v>35</v>
      </c>
      <c r="B37" s="15">
        <v>-41.121420999999998</v>
      </c>
      <c r="C37" s="15">
        <v>0</v>
      </c>
      <c r="D37" s="15">
        <v>500.025307</v>
      </c>
      <c r="E37" s="15">
        <v>501.52742999999998</v>
      </c>
    </row>
    <row r="38" spans="1:5" ht="15" customHeight="1" x14ac:dyDescent="0.25">
      <c r="A38" s="16">
        <v>36</v>
      </c>
      <c r="B38" s="17">
        <v>0</v>
      </c>
      <c r="C38" s="17">
        <v>51.401777000000003</v>
      </c>
      <c r="D38" s="17">
        <v>477.10016400000001</v>
      </c>
      <c r="E38" s="17">
        <v>477.22874000000002</v>
      </c>
    </row>
    <row r="39" spans="1:5" ht="15" customHeight="1" x14ac:dyDescent="0.25">
      <c r="A39" s="14">
        <v>37</v>
      </c>
      <c r="B39" s="15">
        <v>-13.303758999999999</v>
      </c>
      <c r="C39" s="15">
        <v>49.650303999999998</v>
      </c>
      <c r="D39" s="15">
        <v>487.29663799999997</v>
      </c>
      <c r="E39" s="15">
        <v>485.80998699999998</v>
      </c>
    </row>
    <row r="40" spans="1:5" ht="15" customHeight="1" x14ac:dyDescent="0.25">
      <c r="A40" s="16">
        <v>38</v>
      </c>
      <c r="B40" s="17">
        <v>-25.700887999999999</v>
      </c>
      <c r="C40" s="17">
        <v>44.515244000000003</v>
      </c>
      <c r="D40" s="17">
        <v>492.00498599999997</v>
      </c>
      <c r="E40" s="17">
        <v>489.64348100000001</v>
      </c>
    </row>
    <row r="41" spans="1:5" ht="15" customHeight="1" x14ac:dyDescent="0.25">
      <c r="A41" s="14">
        <v>39</v>
      </c>
      <c r="B41" s="15">
        <v>-36.346544999999999</v>
      </c>
      <c r="C41" s="15">
        <v>36.346544999999999</v>
      </c>
      <c r="D41" s="15">
        <v>495.124236</v>
      </c>
      <c r="E41" s="15">
        <v>492.77591699999999</v>
      </c>
    </row>
    <row r="42" spans="1:5" ht="15" customHeight="1" x14ac:dyDescent="0.25">
      <c r="A42" s="16">
        <v>40</v>
      </c>
      <c r="B42" s="17">
        <v>-44.515244000000003</v>
      </c>
      <c r="C42" s="17">
        <v>25.700887999999999</v>
      </c>
      <c r="D42" s="17">
        <v>497.59797099999997</v>
      </c>
      <c r="E42" s="17">
        <v>496.31894</v>
      </c>
    </row>
    <row r="43" spans="1:5" ht="15" customHeight="1" x14ac:dyDescent="0.25">
      <c r="A43" s="14">
        <v>41</v>
      </c>
      <c r="B43" s="15">
        <v>-49.650303999999998</v>
      </c>
      <c r="C43" s="15">
        <v>13.303758999999999</v>
      </c>
      <c r="D43" s="15">
        <v>499.02302600000002</v>
      </c>
      <c r="E43" s="15">
        <v>499.23109699999998</v>
      </c>
    </row>
    <row r="44" spans="1:5" ht="15" customHeight="1" x14ac:dyDescent="0.25">
      <c r="A44" s="16">
        <v>42</v>
      </c>
      <c r="B44" s="17">
        <v>-51.401777000000003</v>
      </c>
      <c r="C44" s="17">
        <v>0</v>
      </c>
      <c r="D44" s="17">
        <v>499.13432799999998</v>
      </c>
      <c r="E44" s="17">
        <v>500.58310299999999</v>
      </c>
    </row>
    <row r="45" spans="1:5" ht="15" customHeight="1" x14ac:dyDescent="0.25">
      <c r="A45" s="14">
        <v>43</v>
      </c>
      <c r="B45" s="15">
        <v>0</v>
      </c>
      <c r="C45" s="15">
        <v>61.682132000000003</v>
      </c>
      <c r="D45" s="15">
        <v>469.27257800000001</v>
      </c>
      <c r="E45" s="15">
        <v>470.63282099999998</v>
      </c>
    </row>
    <row r="46" spans="1:5" ht="15" customHeight="1" x14ac:dyDescent="0.25">
      <c r="A46" s="16">
        <v>44</v>
      </c>
      <c r="B46" s="17">
        <v>-15.964511</v>
      </c>
      <c r="C46" s="17">
        <v>59.580364000000003</v>
      </c>
      <c r="D46" s="17">
        <v>483.20115299999998</v>
      </c>
      <c r="E46" s="17">
        <v>481.92349000000002</v>
      </c>
    </row>
    <row r="47" spans="1:5" ht="15" customHeight="1" x14ac:dyDescent="0.25">
      <c r="A47" s="14">
        <v>45</v>
      </c>
      <c r="B47" s="15">
        <v>-30.841066000000001</v>
      </c>
      <c r="C47" s="15">
        <v>53.418292999999998</v>
      </c>
      <c r="D47" s="15">
        <v>489.561826</v>
      </c>
      <c r="E47" s="15">
        <v>487.54415399999999</v>
      </c>
    </row>
    <row r="48" spans="1:5" ht="15" customHeight="1" x14ac:dyDescent="0.25">
      <c r="A48" s="16">
        <v>46</v>
      </c>
      <c r="B48" s="17">
        <v>-43.615853999999999</v>
      </c>
      <c r="C48" s="17">
        <v>43.615853999999999</v>
      </c>
      <c r="D48" s="17">
        <v>493.06114600000001</v>
      </c>
      <c r="E48" s="17">
        <v>490.915412</v>
      </c>
    </row>
    <row r="49" spans="1:5" ht="15" customHeight="1" x14ac:dyDescent="0.25">
      <c r="A49" s="14">
        <v>47</v>
      </c>
      <c r="B49" s="15">
        <v>-53.418292999999998</v>
      </c>
      <c r="C49" s="15">
        <v>30.841066000000001</v>
      </c>
      <c r="D49" s="15">
        <v>496.05278199999998</v>
      </c>
      <c r="E49" s="15">
        <v>494.79902800000002</v>
      </c>
    </row>
    <row r="50" spans="1:5" ht="15" customHeight="1" x14ac:dyDescent="0.25">
      <c r="A50" s="16">
        <v>48</v>
      </c>
      <c r="B50" s="17">
        <v>-59.580364000000003</v>
      </c>
      <c r="C50" s="17">
        <v>15.964511</v>
      </c>
      <c r="D50" s="17">
        <v>497.85753099999999</v>
      </c>
      <c r="E50" s="17">
        <v>498.131102</v>
      </c>
    </row>
    <row r="51" spans="1:5" ht="15" customHeight="1" x14ac:dyDescent="0.25">
      <c r="A51" s="14">
        <v>49</v>
      </c>
      <c r="B51" s="15">
        <v>-61.682132000000003</v>
      </c>
      <c r="C51" s="15">
        <v>0</v>
      </c>
      <c r="D51" s="15">
        <v>497.86834299999998</v>
      </c>
      <c r="E51" s="15">
        <v>499.31784699999997</v>
      </c>
    </row>
    <row r="52" spans="1:5" ht="15" customHeight="1" x14ac:dyDescent="0.25">
      <c r="A52" s="16">
        <v>50</v>
      </c>
      <c r="B52" s="17">
        <v>0</v>
      </c>
      <c r="C52" s="17">
        <v>71.962486999999996</v>
      </c>
      <c r="D52" s="17">
        <v>461.26017000000002</v>
      </c>
      <c r="E52" s="17">
        <v>462.91807399999999</v>
      </c>
    </row>
    <row r="53" spans="1:5" ht="15" customHeight="1" x14ac:dyDescent="0.25">
      <c r="A53" s="14">
        <v>51</v>
      </c>
      <c r="B53" s="15">
        <v>-18.625261999999999</v>
      </c>
      <c r="C53" s="15">
        <v>69.510424999999998</v>
      </c>
      <c r="D53" s="15">
        <v>478.194321</v>
      </c>
      <c r="E53" s="15">
        <v>477.55184200000002</v>
      </c>
    </row>
    <row r="54" spans="1:5" ht="15" customHeight="1" x14ac:dyDescent="0.25">
      <c r="A54" s="16">
        <v>52</v>
      </c>
      <c r="B54" s="17">
        <v>-35.981243999999997</v>
      </c>
      <c r="C54" s="17">
        <v>62.321342000000001</v>
      </c>
      <c r="D54" s="17">
        <v>487.25109600000002</v>
      </c>
      <c r="E54" s="17">
        <v>485.553042</v>
      </c>
    </row>
    <row r="55" spans="1:5" ht="15" customHeight="1" x14ac:dyDescent="0.25">
      <c r="A55" s="14">
        <v>53</v>
      </c>
      <c r="B55" s="15">
        <v>-50.885162999999999</v>
      </c>
      <c r="C55" s="15">
        <v>50.885162999999999</v>
      </c>
      <c r="D55" s="15">
        <v>491.20556900000003</v>
      </c>
      <c r="E55" s="15">
        <v>489.25537000000003</v>
      </c>
    </row>
    <row r="56" spans="1:5" ht="15" customHeight="1" x14ac:dyDescent="0.25">
      <c r="A56" s="16">
        <v>54</v>
      </c>
      <c r="B56" s="17">
        <v>-62.321342000000001</v>
      </c>
      <c r="C56" s="17">
        <v>35.981243999999997</v>
      </c>
      <c r="D56" s="17">
        <v>494.497028</v>
      </c>
      <c r="E56" s="17">
        <v>493.34669400000001</v>
      </c>
    </row>
    <row r="57" spans="1:5" ht="15" customHeight="1" x14ac:dyDescent="0.25">
      <c r="A57" s="14">
        <v>55</v>
      </c>
      <c r="B57" s="15">
        <v>-69.510424999999998</v>
      </c>
      <c r="C57" s="15">
        <v>18.625261999999999</v>
      </c>
      <c r="D57" s="15">
        <v>496.72693700000002</v>
      </c>
      <c r="E57" s="15">
        <v>497.02192300000002</v>
      </c>
    </row>
    <row r="58" spans="1:5" ht="15" customHeight="1" x14ac:dyDescent="0.25">
      <c r="A58" s="16">
        <v>56</v>
      </c>
      <c r="B58" s="17">
        <v>-71.962486999999996</v>
      </c>
      <c r="C58" s="17">
        <v>0</v>
      </c>
      <c r="D58" s="17">
        <v>496.05751900000001</v>
      </c>
      <c r="E58" s="17">
        <v>497.52067</v>
      </c>
    </row>
    <row r="59" spans="1:5" ht="15" customHeight="1" x14ac:dyDescent="0.25">
      <c r="A59" s="14">
        <v>57</v>
      </c>
      <c r="B59" s="15">
        <v>0</v>
      </c>
      <c r="C59" s="15">
        <v>82.242842999999993</v>
      </c>
      <c r="D59" s="15">
        <v>452.10146500000002</v>
      </c>
      <c r="E59" s="15">
        <v>454.88771600000001</v>
      </c>
    </row>
    <row r="60" spans="1:5" ht="15" customHeight="1" x14ac:dyDescent="0.25">
      <c r="A60" s="16">
        <v>58</v>
      </c>
      <c r="B60" s="17">
        <v>-21.286014000000002</v>
      </c>
      <c r="C60" s="17">
        <v>79.440486000000007</v>
      </c>
      <c r="D60" s="17">
        <v>472.252229</v>
      </c>
      <c r="E60" s="17">
        <v>472.16375599999998</v>
      </c>
    </row>
    <row r="61" spans="1:5" ht="15" customHeight="1" x14ac:dyDescent="0.25">
      <c r="A61" s="14">
        <v>59</v>
      </c>
      <c r="B61" s="15">
        <v>-41.121420999999998</v>
      </c>
      <c r="C61" s="15">
        <v>71.224390999999997</v>
      </c>
      <c r="D61" s="15">
        <v>484.82439499999998</v>
      </c>
      <c r="E61" s="15">
        <v>483.38567599999999</v>
      </c>
    </row>
    <row r="62" spans="1:5" ht="15" customHeight="1" x14ac:dyDescent="0.25">
      <c r="A62" s="16">
        <v>60</v>
      </c>
      <c r="B62" s="17">
        <v>-58.154471999999998</v>
      </c>
      <c r="C62" s="17">
        <v>58.154471999999998</v>
      </c>
      <c r="D62" s="17">
        <v>489.45056799999998</v>
      </c>
      <c r="E62" s="17">
        <v>487.64057200000002</v>
      </c>
    </row>
    <row r="63" spans="1:5" ht="15" customHeight="1" x14ac:dyDescent="0.25">
      <c r="A63" s="14">
        <v>61</v>
      </c>
      <c r="B63" s="15">
        <v>-71.224390999999997</v>
      </c>
      <c r="C63" s="15">
        <v>41.121420999999998</v>
      </c>
      <c r="D63" s="15">
        <v>493.01348300000001</v>
      </c>
      <c r="E63" s="15">
        <v>491.99576200000001</v>
      </c>
    </row>
    <row r="64" spans="1:5" ht="15" customHeight="1" x14ac:dyDescent="0.25">
      <c r="A64" s="16">
        <v>62</v>
      </c>
      <c r="B64" s="17">
        <v>-79.440486000000007</v>
      </c>
      <c r="C64" s="17">
        <v>21.286014000000002</v>
      </c>
      <c r="D64" s="17">
        <v>495.73572899999999</v>
      </c>
      <c r="E64" s="17">
        <v>496.01019700000001</v>
      </c>
    </row>
    <row r="65" spans="1:5" ht="15" customHeight="1" x14ac:dyDescent="0.25">
      <c r="A65" s="14">
        <v>63</v>
      </c>
      <c r="B65" s="15">
        <v>-82.242842999999993</v>
      </c>
      <c r="C65" s="15">
        <v>0</v>
      </c>
      <c r="D65" s="15">
        <v>495.39705300000003</v>
      </c>
      <c r="E65" s="15">
        <v>496.820761</v>
      </c>
    </row>
    <row r="66" spans="1:5" ht="15" customHeight="1" x14ac:dyDescent="0.25">
      <c r="A66" s="16">
        <v>64</v>
      </c>
      <c r="B66" s="17">
        <v>0</v>
      </c>
      <c r="C66" s="17">
        <v>92.523197999999994</v>
      </c>
      <c r="D66" s="17">
        <v>442.493629</v>
      </c>
      <c r="E66" s="17">
        <v>445.44058100000001</v>
      </c>
    </row>
    <row r="67" spans="1:5" ht="15" customHeight="1" x14ac:dyDescent="0.25">
      <c r="A67" s="14">
        <v>65</v>
      </c>
      <c r="B67" s="15">
        <v>-23.946766</v>
      </c>
      <c r="C67" s="15">
        <v>89.370547000000002</v>
      </c>
      <c r="D67" s="15">
        <v>465.23976499999998</v>
      </c>
      <c r="E67" s="15">
        <v>465.04540100000003</v>
      </c>
    </row>
    <row r="68" spans="1:5" ht="15" customHeight="1" x14ac:dyDescent="0.25">
      <c r="A68" s="16">
        <v>66</v>
      </c>
      <c r="B68" s="17">
        <v>-46.261598999999997</v>
      </c>
      <c r="C68" s="17">
        <v>80.127440000000007</v>
      </c>
      <c r="D68" s="17">
        <v>481.44350400000002</v>
      </c>
      <c r="E68" s="17">
        <v>480.26451800000001</v>
      </c>
    </row>
    <row r="69" spans="1:5" ht="15" customHeight="1" x14ac:dyDescent="0.25">
      <c r="A69" s="14">
        <v>67</v>
      </c>
      <c r="B69" s="15">
        <v>-65.423781000000005</v>
      </c>
      <c r="C69" s="15">
        <v>65.423781000000005</v>
      </c>
      <c r="D69" s="15">
        <v>487.79934200000002</v>
      </c>
      <c r="E69" s="15">
        <v>486.13043099999999</v>
      </c>
    </row>
    <row r="70" spans="1:5" ht="15" customHeight="1" x14ac:dyDescent="0.25">
      <c r="A70" s="16">
        <v>68</v>
      </c>
      <c r="B70" s="17">
        <v>-80.127440000000007</v>
      </c>
      <c r="C70" s="17">
        <v>46.261598999999997</v>
      </c>
      <c r="D70" s="17">
        <v>491.59861100000001</v>
      </c>
      <c r="E70" s="17">
        <v>490.74356499999999</v>
      </c>
    </row>
    <row r="71" spans="1:5" ht="15" customHeight="1" x14ac:dyDescent="0.25">
      <c r="A71" s="14">
        <v>69</v>
      </c>
      <c r="B71" s="15">
        <v>-89.370547000000002</v>
      </c>
      <c r="C71" s="15">
        <v>23.946766</v>
      </c>
      <c r="D71" s="15">
        <v>494.78567199999998</v>
      </c>
      <c r="E71" s="15">
        <v>495.08681100000001</v>
      </c>
    </row>
    <row r="72" spans="1:5" ht="15" customHeight="1" x14ac:dyDescent="0.25">
      <c r="A72" s="16">
        <v>70</v>
      </c>
      <c r="B72" s="17">
        <v>-92.523197999999994</v>
      </c>
      <c r="C72" s="17">
        <v>0</v>
      </c>
      <c r="D72" s="17">
        <v>494.75374199999999</v>
      </c>
      <c r="E72" s="17">
        <v>496.08468299999998</v>
      </c>
    </row>
    <row r="73" spans="1:5" ht="15" customHeight="1" x14ac:dyDescent="0.25">
      <c r="A73" s="14">
        <v>71</v>
      </c>
      <c r="B73" s="15">
        <v>0</v>
      </c>
      <c r="C73" s="15">
        <v>102.80355299999999</v>
      </c>
      <c r="D73" s="15">
        <v>431.73427900000002</v>
      </c>
      <c r="E73" s="15">
        <v>435.11365799999999</v>
      </c>
    </row>
    <row r="74" spans="1:5" ht="15" customHeight="1" x14ac:dyDescent="0.25">
      <c r="A74" s="16">
        <v>72</v>
      </c>
      <c r="B74" s="17">
        <v>-26.607517999999999</v>
      </c>
      <c r="C74" s="17">
        <v>99.300606999999999</v>
      </c>
      <c r="D74" s="17">
        <v>456.24278500000003</v>
      </c>
      <c r="E74" s="17">
        <v>456.92775599999999</v>
      </c>
    </row>
    <row r="75" spans="1:5" ht="15" customHeight="1" x14ac:dyDescent="0.25">
      <c r="A75" s="14">
        <v>73</v>
      </c>
      <c r="B75" s="15">
        <v>-51.401777000000003</v>
      </c>
      <c r="C75" s="15">
        <v>89.030489000000003</v>
      </c>
      <c r="D75" s="15">
        <v>475.901906</v>
      </c>
      <c r="E75" s="15">
        <v>475.05686500000002</v>
      </c>
    </row>
    <row r="76" spans="1:5" ht="15" customHeight="1" x14ac:dyDescent="0.25">
      <c r="A76" s="16">
        <v>74</v>
      </c>
      <c r="B76" s="17">
        <v>-72.693089999999998</v>
      </c>
      <c r="C76" s="17">
        <v>72.693089999999998</v>
      </c>
      <c r="D76" s="17">
        <v>486.28670599999998</v>
      </c>
      <c r="E76" s="17">
        <v>484.67629199999999</v>
      </c>
    </row>
    <row r="77" spans="1:5" ht="15" customHeight="1" x14ac:dyDescent="0.25">
      <c r="A77" s="14">
        <v>75</v>
      </c>
      <c r="B77" s="15">
        <v>-89.030489000000003</v>
      </c>
      <c r="C77" s="15">
        <v>51.401777000000003</v>
      </c>
      <c r="D77" s="15">
        <v>490.23120499999999</v>
      </c>
      <c r="E77" s="15">
        <v>489.49753800000002</v>
      </c>
    </row>
    <row r="78" spans="1:5" ht="15" customHeight="1" x14ac:dyDescent="0.25">
      <c r="A78" s="16">
        <v>76</v>
      </c>
      <c r="B78" s="17">
        <v>-99.300606999999999</v>
      </c>
      <c r="C78" s="17">
        <v>26.607517999999999</v>
      </c>
      <c r="D78" s="17">
        <v>493.75380100000001</v>
      </c>
      <c r="E78" s="17">
        <v>494.11029300000001</v>
      </c>
    </row>
    <row r="79" spans="1:5" ht="15" customHeight="1" x14ac:dyDescent="0.25">
      <c r="A79" s="14">
        <v>77</v>
      </c>
      <c r="B79" s="15">
        <v>-102.80355299999999</v>
      </c>
      <c r="C79" s="15">
        <v>0</v>
      </c>
      <c r="D79" s="15">
        <v>494.206076</v>
      </c>
      <c r="E79" s="15">
        <v>495.48275000000001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0"/>
  <sheetViews>
    <sheetView tabSelected="1" zoomScaleNormal="100"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T13" sqref="T13"/>
    </sheetView>
  </sheetViews>
  <sheetFormatPr defaultColWidth="8.7109375" defaultRowHeight="15" x14ac:dyDescent="0.25"/>
  <cols>
    <col min="1" max="1" width="5" customWidth="1"/>
    <col min="2" max="3" width="12" customWidth="1"/>
    <col min="4" max="18" width="20.7109375" customWidth="1"/>
  </cols>
  <sheetData>
    <row r="1" spans="1:18" ht="18" customHeight="1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5.75" customHeight="1" x14ac:dyDescent="0.25">
      <c r="A2" s="4" t="s">
        <v>31</v>
      </c>
      <c r="B2" s="4"/>
      <c r="C2" s="3" t="s">
        <v>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27.75" customHeight="1" x14ac:dyDescent="0.25">
      <c r="A3" s="13" t="s">
        <v>25</v>
      </c>
      <c r="B3" s="13" t="s">
        <v>33</v>
      </c>
      <c r="C3" s="13" t="s">
        <v>34</v>
      </c>
      <c r="D3" s="20" t="s">
        <v>35</v>
      </c>
      <c r="E3" s="20" t="s">
        <v>36</v>
      </c>
      <c r="F3" s="20" t="s">
        <v>37</v>
      </c>
      <c r="G3" s="20" t="s">
        <v>38</v>
      </c>
      <c r="H3" s="20" t="s">
        <v>39</v>
      </c>
      <c r="I3" s="20" t="s">
        <v>40</v>
      </c>
      <c r="J3" s="20" t="s">
        <v>41</v>
      </c>
      <c r="K3" s="20" t="s">
        <v>42</v>
      </c>
      <c r="L3" s="20" t="s">
        <v>43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</row>
    <row r="4" spans="1:18" ht="15" customHeight="1" x14ac:dyDescent="0.25">
      <c r="A4" s="14">
        <v>1</v>
      </c>
      <c r="B4" s="21">
        <f>Raw_Data!B3</f>
        <v>0</v>
      </c>
      <c r="C4" s="21">
        <f>Raw_Data!C3</f>
        <v>0</v>
      </c>
      <c r="D4" s="15">
        <f>1</f>
        <v>1</v>
      </c>
      <c r="E4" s="15">
        <f t="shared" ref="E4:E35" si="0">B4</f>
        <v>0</v>
      </c>
      <c r="F4" s="15">
        <f t="shared" ref="F4:F35" si="1">C4</f>
        <v>0</v>
      </c>
      <c r="G4" s="15">
        <f t="shared" ref="G4:G35" si="2">B4^2</f>
        <v>0</v>
      </c>
      <c r="H4" s="15">
        <f t="shared" ref="H4:H35" si="3">B4*C4</f>
        <v>0</v>
      </c>
      <c r="I4" s="15">
        <f t="shared" ref="I4:I35" si="4">C4^2</f>
        <v>0</v>
      </c>
      <c r="J4" s="15">
        <f t="shared" ref="J4:J35" si="5">B4^3</f>
        <v>0</v>
      </c>
      <c r="K4" s="15">
        <f t="shared" ref="K4:K35" si="6">B4^2*C4</f>
        <v>0</v>
      </c>
      <c r="L4" s="15">
        <f t="shared" ref="L4:L35" si="7">B4*C4^2</f>
        <v>0</v>
      </c>
      <c r="M4" s="15">
        <f t="shared" ref="M4:M35" si="8">C4^3</f>
        <v>0</v>
      </c>
      <c r="N4" s="15">
        <f t="shared" ref="N4:N35" si="9">B4^4</f>
        <v>0</v>
      </c>
      <c r="O4" s="15">
        <f t="shared" ref="O4:O35" si="10">B4^3*C4</f>
        <v>0</v>
      </c>
      <c r="P4" s="15">
        <f t="shared" ref="P4:P35" si="11">B4^2*C4^2</f>
        <v>0</v>
      </c>
      <c r="Q4" s="15">
        <f t="shared" ref="Q4:Q35" si="12">B4*C4^3</f>
        <v>0</v>
      </c>
      <c r="R4" s="15">
        <f t="shared" ref="R4:R35" si="13">C4^4</f>
        <v>0</v>
      </c>
    </row>
    <row r="5" spans="1:18" ht="15" customHeight="1" x14ac:dyDescent="0.25">
      <c r="A5" s="16">
        <v>2</v>
      </c>
      <c r="B5" s="21">
        <f>Raw_Data!B4</f>
        <v>0</v>
      </c>
      <c r="C5" s="21">
        <f>Raw_Data!C4</f>
        <v>0</v>
      </c>
      <c r="D5" s="17">
        <f>1</f>
        <v>1</v>
      </c>
      <c r="E5" s="17">
        <f t="shared" si="0"/>
        <v>0</v>
      </c>
      <c r="F5" s="17">
        <f t="shared" si="1"/>
        <v>0</v>
      </c>
      <c r="G5" s="17">
        <f t="shared" si="2"/>
        <v>0</v>
      </c>
      <c r="H5" s="17">
        <f t="shared" si="3"/>
        <v>0</v>
      </c>
      <c r="I5" s="17">
        <f t="shared" si="4"/>
        <v>0</v>
      </c>
      <c r="J5" s="17">
        <f t="shared" si="5"/>
        <v>0</v>
      </c>
      <c r="K5" s="17">
        <f t="shared" si="6"/>
        <v>0</v>
      </c>
      <c r="L5" s="17">
        <f t="shared" si="7"/>
        <v>0</v>
      </c>
      <c r="M5" s="17">
        <f t="shared" si="8"/>
        <v>0</v>
      </c>
      <c r="N5" s="17">
        <f t="shared" si="9"/>
        <v>0</v>
      </c>
      <c r="O5" s="17">
        <f t="shared" si="10"/>
        <v>0</v>
      </c>
      <c r="P5" s="17">
        <f t="shared" si="11"/>
        <v>0</v>
      </c>
      <c r="Q5" s="17">
        <f t="shared" si="12"/>
        <v>0</v>
      </c>
      <c r="R5" s="17">
        <f t="shared" si="13"/>
        <v>0</v>
      </c>
    </row>
    <row r="6" spans="1:18" ht="15" customHeight="1" x14ac:dyDescent="0.25">
      <c r="A6" s="14">
        <v>3</v>
      </c>
      <c r="B6" s="21">
        <f>Raw_Data!B5</f>
        <v>0</v>
      </c>
      <c r="C6" s="21">
        <f>Raw_Data!C5</f>
        <v>0</v>
      </c>
      <c r="D6" s="15">
        <f>1</f>
        <v>1</v>
      </c>
      <c r="E6" s="15">
        <f t="shared" si="0"/>
        <v>0</v>
      </c>
      <c r="F6" s="15">
        <f t="shared" si="1"/>
        <v>0</v>
      </c>
      <c r="G6" s="15">
        <f t="shared" si="2"/>
        <v>0</v>
      </c>
      <c r="H6" s="15">
        <f t="shared" si="3"/>
        <v>0</v>
      </c>
      <c r="I6" s="15">
        <f t="shared" si="4"/>
        <v>0</v>
      </c>
      <c r="J6" s="15">
        <f t="shared" si="5"/>
        <v>0</v>
      </c>
      <c r="K6" s="15">
        <f t="shared" si="6"/>
        <v>0</v>
      </c>
      <c r="L6" s="15">
        <f t="shared" si="7"/>
        <v>0</v>
      </c>
      <c r="M6" s="15">
        <f t="shared" si="8"/>
        <v>0</v>
      </c>
      <c r="N6" s="15">
        <f t="shared" si="9"/>
        <v>0</v>
      </c>
      <c r="O6" s="15">
        <f t="shared" si="10"/>
        <v>0</v>
      </c>
      <c r="P6" s="15">
        <f t="shared" si="11"/>
        <v>0</v>
      </c>
      <c r="Q6" s="15">
        <f t="shared" si="12"/>
        <v>0</v>
      </c>
      <c r="R6" s="15">
        <f t="shared" si="13"/>
        <v>0</v>
      </c>
    </row>
    <row r="7" spans="1:18" ht="15" customHeight="1" x14ac:dyDescent="0.25">
      <c r="A7" s="16">
        <v>4</v>
      </c>
      <c r="B7" s="21">
        <f>Raw_Data!B6</f>
        <v>0</v>
      </c>
      <c r="C7" s="21">
        <f>Raw_Data!C6</f>
        <v>0</v>
      </c>
      <c r="D7" s="17">
        <f>1</f>
        <v>1</v>
      </c>
      <c r="E7" s="17">
        <f t="shared" si="0"/>
        <v>0</v>
      </c>
      <c r="F7" s="17">
        <f t="shared" si="1"/>
        <v>0</v>
      </c>
      <c r="G7" s="17">
        <f t="shared" si="2"/>
        <v>0</v>
      </c>
      <c r="H7" s="17">
        <f t="shared" si="3"/>
        <v>0</v>
      </c>
      <c r="I7" s="17">
        <f t="shared" si="4"/>
        <v>0</v>
      </c>
      <c r="J7" s="17">
        <f t="shared" si="5"/>
        <v>0</v>
      </c>
      <c r="K7" s="17">
        <f t="shared" si="6"/>
        <v>0</v>
      </c>
      <c r="L7" s="17">
        <f t="shared" si="7"/>
        <v>0</v>
      </c>
      <c r="M7" s="17">
        <f t="shared" si="8"/>
        <v>0</v>
      </c>
      <c r="N7" s="17">
        <f t="shared" si="9"/>
        <v>0</v>
      </c>
      <c r="O7" s="17">
        <f t="shared" si="10"/>
        <v>0</v>
      </c>
      <c r="P7" s="17">
        <f t="shared" si="11"/>
        <v>0</v>
      </c>
      <c r="Q7" s="17">
        <f t="shared" si="12"/>
        <v>0</v>
      </c>
      <c r="R7" s="17">
        <f t="shared" si="13"/>
        <v>0</v>
      </c>
    </row>
    <row r="8" spans="1:18" ht="15" customHeight="1" x14ac:dyDescent="0.25">
      <c r="A8" s="14">
        <v>5</v>
      </c>
      <c r="B8" s="21">
        <f>Raw_Data!B7</f>
        <v>0</v>
      </c>
      <c r="C8" s="21">
        <f>Raw_Data!C7</f>
        <v>0</v>
      </c>
      <c r="D8" s="15">
        <f>1</f>
        <v>1</v>
      </c>
      <c r="E8" s="15">
        <f t="shared" si="0"/>
        <v>0</v>
      </c>
      <c r="F8" s="15">
        <f t="shared" si="1"/>
        <v>0</v>
      </c>
      <c r="G8" s="15">
        <f t="shared" si="2"/>
        <v>0</v>
      </c>
      <c r="H8" s="15">
        <f t="shared" si="3"/>
        <v>0</v>
      </c>
      <c r="I8" s="15">
        <f t="shared" si="4"/>
        <v>0</v>
      </c>
      <c r="J8" s="15">
        <f t="shared" si="5"/>
        <v>0</v>
      </c>
      <c r="K8" s="15">
        <f t="shared" si="6"/>
        <v>0</v>
      </c>
      <c r="L8" s="15">
        <f t="shared" si="7"/>
        <v>0</v>
      </c>
      <c r="M8" s="15">
        <f t="shared" si="8"/>
        <v>0</v>
      </c>
      <c r="N8" s="15">
        <f t="shared" si="9"/>
        <v>0</v>
      </c>
      <c r="O8" s="15">
        <f t="shared" si="10"/>
        <v>0</v>
      </c>
      <c r="P8" s="15">
        <f t="shared" si="11"/>
        <v>0</v>
      </c>
      <c r="Q8" s="15">
        <f t="shared" si="12"/>
        <v>0</v>
      </c>
      <c r="R8" s="15">
        <f t="shared" si="13"/>
        <v>0</v>
      </c>
    </row>
    <row r="9" spans="1:18" ht="15" customHeight="1" x14ac:dyDescent="0.25">
      <c r="A9" s="16">
        <v>6</v>
      </c>
      <c r="B9" s="21">
        <f>Raw_Data!B8</f>
        <v>0</v>
      </c>
      <c r="C9" s="21">
        <f>Raw_Data!C8</f>
        <v>0</v>
      </c>
      <c r="D9" s="17">
        <f>1</f>
        <v>1</v>
      </c>
      <c r="E9" s="17">
        <f t="shared" si="0"/>
        <v>0</v>
      </c>
      <c r="F9" s="17">
        <f t="shared" si="1"/>
        <v>0</v>
      </c>
      <c r="G9" s="17">
        <f t="shared" si="2"/>
        <v>0</v>
      </c>
      <c r="H9" s="17">
        <f t="shared" si="3"/>
        <v>0</v>
      </c>
      <c r="I9" s="17">
        <f t="shared" si="4"/>
        <v>0</v>
      </c>
      <c r="J9" s="17">
        <f t="shared" si="5"/>
        <v>0</v>
      </c>
      <c r="K9" s="17">
        <f t="shared" si="6"/>
        <v>0</v>
      </c>
      <c r="L9" s="17">
        <f t="shared" si="7"/>
        <v>0</v>
      </c>
      <c r="M9" s="17">
        <f t="shared" si="8"/>
        <v>0</v>
      </c>
      <c r="N9" s="17">
        <f t="shared" si="9"/>
        <v>0</v>
      </c>
      <c r="O9" s="17">
        <f t="shared" si="10"/>
        <v>0</v>
      </c>
      <c r="P9" s="17">
        <f t="shared" si="11"/>
        <v>0</v>
      </c>
      <c r="Q9" s="17">
        <f t="shared" si="12"/>
        <v>0</v>
      </c>
      <c r="R9" s="17">
        <f t="shared" si="13"/>
        <v>0</v>
      </c>
    </row>
    <row r="10" spans="1:18" ht="15" customHeight="1" x14ac:dyDescent="0.25">
      <c r="A10" s="14">
        <v>7</v>
      </c>
      <c r="B10" s="21">
        <f>Raw_Data!B9</f>
        <v>0</v>
      </c>
      <c r="C10" s="21">
        <f>Raw_Data!C9</f>
        <v>0</v>
      </c>
      <c r="D10" s="15">
        <f>1</f>
        <v>1</v>
      </c>
      <c r="E10" s="15">
        <f t="shared" si="0"/>
        <v>0</v>
      </c>
      <c r="F10" s="15">
        <f t="shared" si="1"/>
        <v>0</v>
      </c>
      <c r="G10" s="15">
        <f t="shared" si="2"/>
        <v>0</v>
      </c>
      <c r="H10" s="15">
        <f t="shared" si="3"/>
        <v>0</v>
      </c>
      <c r="I10" s="15">
        <f t="shared" si="4"/>
        <v>0</v>
      </c>
      <c r="J10" s="15">
        <f t="shared" si="5"/>
        <v>0</v>
      </c>
      <c r="K10" s="15">
        <f t="shared" si="6"/>
        <v>0</v>
      </c>
      <c r="L10" s="15">
        <f t="shared" si="7"/>
        <v>0</v>
      </c>
      <c r="M10" s="15">
        <f t="shared" si="8"/>
        <v>0</v>
      </c>
      <c r="N10" s="15">
        <f t="shared" si="9"/>
        <v>0</v>
      </c>
      <c r="O10" s="15">
        <f t="shared" si="10"/>
        <v>0</v>
      </c>
      <c r="P10" s="15">
        <f t="shared" si="11"/>
        <v>0</v>
      </c>
      <c r="Q10" s="15">
        <f t="shared" si="12"/>
        <v>0</v>
      </c>
      <c r="R10" s="15">
        <f t="shared" si="13"/>
        <v>0</v>
      </c>
    </row>
    <row r="11" spans="1:18" ht="15" customHeight="1" x14ac:dyDescent="0.25">
      <c r="A11" s="16">
        <v>8</v>
      </c>
      <c r="B11" s="21">
        <f>Raw_Data!B10</f>
        <v>0</v>
      </c>
      <c r="C11" s="21">
        <f>Raw_Data!C10</f>
        <v>10.280355</v>
      </c>
      <c r="D11" s="17">
        <f>1</f>
        <v>1</v>
      </c>
      <c r="E11" s="17">
        <f t="shared" si="0"/>
        <v>0</v>
      </c>
      <c r="F11" s="17">
        <f t="shared" si="1"/>
        <v>10.280355</v>
      </c>
      <c r="G11" s="17">
        <f t="shared" si="2"/>
        <v>0</v>
      </c>
      <c r="H11" s="17">
        <f t="shared" si="3"/>
        <v>0</v>
      </c>
      <c r="I11" s="17">
        <f t="shared" si="4"/>
        <v>105.685698926025</v>
      </c>
      <c r="J11" s="17">
        <f t="shared" si="5"/>
        <v>0</v>
      </c>
      <c r="K11" s="17">
        <f t="shared" si="6"/>
        <v>0</v>
      </c>
      <c r="L11" s="17">
        <f t="shared" si="7"/>
        <v>0</v>
      </c>
      <c r="M11" s="17">
        <f t="shared" si="8"/>
        <v>1086.4865033826557</v>
      </c>
      <c r="N11" s="17">
        <f t="shared" si="9"/>
        <v>0</v>
      </c>
      <c r="O11" s="17">
        <f t="shared" si="10"/>
        <v>0</v>
      </c>
      <c r="P11" s="17">
        <f t="shared" si="11"/>
        <v>0</v>
      </c>
      <c r="Q11" s="17">
        <f t="shared" si="12"/>
        <v>0</v>
      </c>
      <c r="R11" s="17">
        <f t="shared" si="13"/>
        <v>11169.466957482402</v>
      </c>
    </row>
    <row r="12" spans="1:18" ht="15" customHeight="1" x14ac:dyDescent="0.25">
      <c r="A12" s="14">
        <v>9</v>
      </c>
      <c r="B12" s="21">
        <f>Raw_Data!B11</f>
        <v>-2.660752</v>
      </c>
      <c r="C12" s="21">
        <f>Raw_Data!C11</f>
        <v>9.9300610000000002</v>
      </c>
      <c r="D12" s="15">
        <f>1</f>
        <v>1</v>
      </c>
      <c r="E12" s="15">
        <f t="shared" si="0"/>
        <v>-2.660752</v>
      </c>
      <c r="F12" s="15">
        <f t="shared" si="1"/>
        <v>9.9300610000000002</v>
      </c>
      <c r="G12" s="15">
        <f t="shared" si="2"/>
        <v>7.0796012055039999</v>
      </c>
      <c r="H12" s="15">
        <f t="shared" si="3"/>
        <v>-26.421429665872001</v>
      </c>
      <c r="I12" s="15">
        <f t="shared" si="4"/>
        <v>98.606111463721007</v>
      </c>
      <c r="J12" s="15">
        <f t="shared" si="5"/>
        <v>-18.837063066747177</v>
      </c>
      <c r="K12" s="15">
        <f t="shared" si="6"/>
        <v>70.300871826328262</v>
      </c>
      <c r="L12" s="15">
        <f t="shared" si="7"/>
        <v>-262.3664082893186</v>
      </c>
      <c r="M12" s="15">
        <f t="shared" si="8"/>
        <v>979.16470180754891</v>
      </c>
      <c r="N12" s="15">
        <f t="shared" si="9"/>
        <v>50.12075322897369</v>
      </c>
      <c r="O12" s="15">
        <f t="shared" si="10"/>
        <v>-187.05318531364654</v>
      </c>
      <c r="P12" s="15">
        <f t="shared" si="11"/>
        <v>698.091945588621</v>
      </c>
      <c r="Q12" s="15">
        <f t="shared" si="12"/>
        <v>-2605.3144386638392</v>
      </c>
      <c r="R12" s="15">
        <f t="shared" si="13"/>
        <v>9723.1652179957709</v>
      </c>
    </row>
    <row r="13" spans="1:18" ht="15" customHeight="1" x14ac:dyDescent="0.25">
      <c r="A13" s="16">
        <v>10</v>
      </c>
      <c r="B13" s="21">
        <f>Raw_Data!B12</f>
        <v>-5.1401779999999997</v>
      </c>
      <c r="C13" s="21">
        <f>Raw_Data!C12</f>
        <v>8.9030489999999993</v>
      </c>
      <c r="D13" s="17">
        <f>1</f>
        <v>1</v>
      </c>
      <c r="E13" s="17">
        <f t="shared" si="0"/>
        <v>-5.1401779999999997</v>
      </c>
      <c r="F13" s="17">
        <f t="shared" si="1"/>
        <v>8.9030489999999993</v>
      </c>
      <c r="G13" s="17">
        <f t="shared" si="2"/>
        <v>26.421429871683998</v>
      </c>
      <c r="H13" s="17">
        <f t="shared" si="3"/>
        <v>-45.763256602721995</v>
      </c>
      <c r="I13" s="17">
        <f t="shared" si="4"/>
        <v>79.264281496400983</v>
      </c>
      <c r="J13" s="17">
        <f t="shared" si="5"/>
        <v>-135.81085255497291</v>
      </c>
      <c r="K13" s="17">
        <f t="shared" si="6"/>
        <v>235.23128479766632</v>
      </c>
      <c r="L13" s="17">
        <f t="shared" si="7"/>
        <v>-407.43251593360736</v>
      </c>
      <c r="M13" s="17">
        <f t="shared" si="8"/>
        <v>705.69378211225126</v>
      </c>
      <c r="N13" s="17">
        <f t="shared" si="9"/>
        <v>698.09195646431544</v>
      </c>
      <c r="O13" s="17">
        <f t="shared" si="10"/>
        <v>-1209.130675028699</v>
      </c>
      <c r="P13" s="17">
        <f t="shared" si="11"/>
        <v>2094.2756548865782</v>
      </c>
      <c r="Q13" s="17">
        <f t="shared" si="12"/>
        <v>-3627.3916535501871</v>
      </c>
      <c r="R13" s="17">
        <f t="shared" si="13"/>
        <v>6282.8263211406957</v>
      </c>
    </row>
    <row r="14" spans="1:18" ht="15" customHeight="1" x14ac:dyDescent="0.25">
      <c r="A14" s="14">
        <v>11</v>
      </c>
      <c r="B14" s="21">
        <f>Raw_Data!B13</f>
        <v>-7.2693089999999998</v>
      </c>
      <c r="C14" s="21">
        <f>Raw_Data!C13</f>
        <v>7.2693089999999998</v>
      </c>
      <c r="D14" s="15">
        <f>1</f>
        <v>1</v>
      </c>
      <c r="E14" s="15">
        <f t="shared" si="0"/>
        <v>-7.2693089999999998</v>
      </c>
      <c r="F14" s="15">
        <f t="shared" si="1"/>
        <v>7.2693089999999998</v>
      </c>
      <c r="G14" s="15">
        <f t="shared" si="2"/>
        <v>52.842853337480996</v>
      </c>
      <c r="H14" s="15">
        <f t="shared" si="3"/>
        <v>-52.842853337480996</v>
      </c>
      <c r="I14" s="15">
        <f t="shared" si="4"/>
        <v>52.842853337480996</v>
      </c>
      <c r="J14" s="15">
        <f t="shared" si="5"/>
        <v>-384.13102935183065</v>
      </c>
      <c r="K14" s="15">
        <f t="shared" si="6"/>
        <v>384.13102935183065</v>
      </c>
      <c r="L14" s="15">
        <f t="shared" si="7"/>
        <v>-384.13102935183065</v>
      </c>
      <c r="M14" s="15">
        <f t="shared" si="8"/>
        <v>384.13102935183065</v>
      </c>
      <c r="N14" s="15">
        <f t="shared" si="9"/>
        <v>2792.3671488465266</v>
      </c>
      <c r="O14" s="15">
        <f t="shared" si="10"/>
        <v>-2792.3671488465266</v>
      </c>
      <c r="P14" s="15">
        <f t="shared" si="11"/>
        <v>2792.3671488465266</v>
      </c>
      <c r="Q14" s="15">
        <f t="shared" si="12"/>
        <v>-2792.3671488465266</v>
      </c>
      <c r="R14" s="15">
        <f t="shared" si="13"/>
        <v>2792.3671488465266</v>
      </c>
    </row>
    <row r="15" spans="1:18" ht="15" customHeight="1" x14ac:dyDescent="0.25">
      <c r="A15" s="16">
        <v>12</v>
      </c>
      <c r="B15" s="21">
        <f>Raw_Data!B14</f>
        <v>-8.9030489999999993</v>
      </c>
      <c r="C15" s="21">
        <f>Raw_Data!C14</f>
        <v>5.1401779999999997</v>
      </c>
      <c r="D15" s="17">
        <f>1</f>
        <v>1</v>
      </c>
      <c r="E15" s="17">
        <f t="shared" si="0"/>
        <v>-8.9030489999999993</v>
      </c>
      <c r="F15" s="17">
        <f t="shared" si="1"/>
        <v>5.1401779999999997</v>
      </c>
      <c r="G15" s="17">
        <f t="shared" si="2"/>
        <v>79.264281496400983</v>
      </c>
      <c r="H15" s="17">
        <f t="shared" si="3"/>
        <v>-45.763256602721995</v>
      </c>
      <c r="I15" s="17">
        <f t="shared" si="4"/>
        <v>26.421429871683998</v>
      </c>
      <c r="J15" s="17">
        <f t="shared" si="5"/>
        <v>-705.69378211225126</v>
      </c>
      <c r="K15" s="17">
        <f t="shared" si="6"/>
        <v>407.43251593360736</v>
      </c>
      <c r="L15" s="17">
        <f t="shared" si="7"/>
        <v>-235.23128479766632</v>
      </c>
      <c r="M15" s="17">
        <f t="shared" si="8"/>
        <v>135.81085255497291</v>
      </c>
      <c r="N15" s="17">
        <f t="shared" si="9"/>
        <v>6282.8263211406957</v>
      </c>
      <c r="O15" s="17">
        <f t="shared" si="10"/>
        <v>-3627.3916535501871</v>
      </c>
      <c r="P15" s="17">
        <f t="shared" si="11"/>
        <v>2094.2756548865782</v>
      </c>
      <c r="Q15" s="17">
        <f t="shared" si="12"/>
        <v>-1209.130675028699</v>
      </c>
      <c r="R15" s="17">
        <f t="shared" si="13"/>
        <v>698.09195646431544</v>
      </c>
    </row>
    <row r="16" spans="1:18" ht="15" customHeight="1" x14ac:dyDescent="0.25">
      <c r="A16" s="14">
        <v>13</v>
      </c>
      <c r="B16" s="21">
        <f>Raw_Data!B15</f>
        <v>-9.9300610000000002</v>
      </c>
      <c r="C16" s="21">
        <f>Raw_Data!C15</f>
        <v>2.660752</v>
      </c>
      <c r="D16" s="15">
        <f>1</f>
        <v>1</v>
      </c>
      <c r="E16" s="15">
        <f t="shared" si="0"/>
        <v>-9.9300610000000002</v>
      </c>
      <c r="F16" s="15">
        <f t="shared" si="1"/>
        <v>2.660752</v>
      </c>
      <c r="G16" s="15">
        <f t="shared" si="2"/>
        <v>98.606111463721007</v>
      </c>
      <c r="H16" s="15">
        <f t="shared" si="3"/>
        <v>-26.421429665872001</v>
      </c>
      <c r="I16" s="15">
        <f t="shared" si="4"/>
        <v>7.0796012055039999</v>
      </c>
      <c r="J16" s="15">
        <f t="shared" si="5"/>
        <v>-979.16470180754891</v>
      </c>
      <c r="K16" s="15">
        <f t="shared" si="6"/>
        <v>262.3664082893186</v>
      </c>
      <c r="L16" s="15">
        <f t="shared" si="7"/>
        <v>-70.300871826328262</v>
      </c>
      <c r="M16" s="15">
        <f t="shared" si="8"/>
        <v>18.837063066747177</v>
      </c>
      <c r="N16" s="15">
        <f t="shared" si="9"/>
        <v>9723.1652179957709</v>
      </c>
      <c r="O16" s="15">
        <f t="shared" si="10"/>
        <v>-2605.3144386638392</v>
      </c>
      <c r="P16" s="15">
        <f t="shared" si="11"/>
        <v>698.091945588621</v>
      </c>
      <c r="Q16" s="15">
        <f t="shared" si="12"/>
        <v>-187.05318531364654</v>
      </c>
      <c r="R16" s="15">
        <f t="shared" si="13"/>
        <v>50.12075322897369</v>
      </c>
    </row>
    <row r="17" spans="1:18" ht="15" customHeight="1" x14ac:dyDescent="0.25">
      <c r="A17" s="16">
        <v>14</v>
      </c>
      <c r="B17" s="21">
        <f>Raw_Data!B16</f>
        <v>-10.280355</v>
      </c>
      <c r="C17" s="21">
        <f>Raw_Data!C16</f>
        <v>0</v>
      </c>
      <c r="D17" s="17">
        <f>1</f>
        <v>1</v>
      </c>
      <c r="E17" s="17">
        <f t="shared" si="0"/>
        <v>-10.280355</v>
      </c>
      <c r="F17" s="17">
        <f t="shared" si="1"/>
        <v>0</v>
      </c>
      <c r="G17" s="17">
        <f t="shared" si="2"/>
        <v>105.685698926025</v>
      </c>
      <c r="H17" s="17">
        <f t="shared" si="3"/>
        <v>0</v>
      </c>
      <c r="I17" s="17">
        <f t="shared" si="4"/>
        <v>0</v>
      </c>
      <c r="J17" s="17">
        <f t="shared" si="5"/>
        <v>-1086.4865033826557</v>
      </c>
      <c r="K17" s="17">
        <f t="shared" si="6"/>
        <v>0</v>
      </c>
      <c r="L17" s="17">
        <f t="shared" si="7"/>
        <v>0</v>
      </c>
      <c r="M17" s="17">
        <f t="shared" si="8"/>
        <v>0</v>
      </c>
      <c r="N17" s="17">
        <f t="shared" si="9"/>
        <v>11169.466957482402</v>
      </c>
      <c r="O17" s="17">
        <f t="shared" si="10"/>
        <v>0</v>
      </c>
      <c r="P17" s="17">
        <f t="shared" si="11"/>
        <v>0</v>
      </c>
      <c r="Q17" s="17">
        <f t="shared" si="12"/>
        <v>0</v>
      </c>
      <c r="R17" s="17">
        <f t="shared" si="13"/>
        <v>0</v>
      </c>
    </row>
    <row r="18" spans="1:18" ht="15" customHeight="1" x14ac:dyDescent="0.25">
      <c r="A18" s="14">
        <v>15</v>
      </c>
      <c r="B18" s="21">
        <f>Raw_Data!B17</f>
        <v>0</v>
      </c>
      <c r="C18" s="21">
        <f>Raw_Data!C17</f>
        <v>20.560711000000001</v>
      </c>
      <c r="D18" s="15">
        <f>1</f>
        <v>1</v>
      </c>
      <c r="E18" s="15">
        <f t="shared" si="0"/>
        <v>0</v>
      </c>
      <c r="F18" s="15">
        <f t="shared" si="1"/>
        <v>20.560711000000001</v>
      </c>
      <c r="G18" s="15">
        <f t="shared" si="2"/>
        <v>0</v>
      </c>
      <c r="H18" s="15">
        <f t="shared" si="3"/>
        <v>0</v>
      </c>
      <c r="I18" s="15">
        <f t="shared" si="4"/>
        <v>422.74283682552107</v>
      </c>
      <c r="J18" s="15">
        <f t="shared" si="5"/>
        <v>0</v>
      </c>
      <c r="K18" s="15">
        <f t="shared" si="6"/>
        <v>0</v>
      </c>
      <c r="L18" s="15">
        <f t="shared" si="7"/>
        <v>0</v>
      </c>
      <c r="M18" s="15">
        <f t="shared" si="8"/>
        <v>8691.8932952896957</v>
      </c>
      <c r="N18" s="15">
        <f t="shared" si="9"/>
        <v>0</v>
      </c>
      <c r="O18" s="15">
        <f t="shared" si="10"/>
        <v>0</v>
      </c>
      <c r="P18" s="15">
        <f t="shared" si="11"/>
        <v>0</v>
      </c>
      <c r="Q18" s="15">
        <f t="shared" si="12"/>
        <v>0</v>
      </c>
      <c r="R18" s="15">
        <f t="shared" si="13"/>
        <v>178711.50608728913</v>
      </c>
    </row>
    <row r="19" spans="1:18" ht="15" customHeight="1" x14ac:dyDescent="0.25">
      <c r="A19" s="16">
        <v>16</v>
      </c>
      <c r="B19" s="21">
        <f>Raw_Data!B18</f>
        <v>-5.321504</v>
      </c>
      <c r="C19" s="21">
        <f>Raw_Data!C18</f>
        <v>19.860120999999999</v>
      </c>
      <c r="D19" s="17">
        <f>1</f>
        <v>1</v>
      </c>
      <c r="E19" s="17">
        <f t="shared" si="0"/>
        <v>-5.321504</v>
      </c>
      <c r="F19" s="17">
        <f t="shared" si="1"/>
        <v>19.860120999999999</v>
      </c>
      <c r="G19" s="17">
        <f t="shared" si="2"/>
        <v>28.318404822015999</v>
      </c>
      <c r="H19" s="17">
        <f t="shared" si="3"/>
        <v>-105.685713341984</v>
      </c>
      <c r="I19" s="17">
        <f t="shared" si="4"/>
        <v>394.424406134641</v>
      </c>
      <c r="J19" s="17">
        <f t="shared" si="5"/>
        <v>-150.69650453397742</v>
      </c>
      <c r="K19" s="17">
        <f t="shared" si="6"/>
        <v>562.40694629222116</v>
      </c>
      <c r="L19" s="17">
        <f t="shared" si="7"/>
        <v>-2098.9310549431166</v>
      </c>
      <c r="M19" s="17">
        <f t="shared" si="8"/>
        <v>7833.3164311871124</v>
      </c>
      <c r="N19" s="17">
        <f t="shared" si="9"/>
        <v>801.93205166357905</v>
      </c>
      <c r="O19" s="17">
        <f t="shared" si="10"/>
        <v>-2992.8508143218401</v>
      </c>
      <c r="P19" s="17">
        <f t="shared" si="11"/>
        <v>11169.470004604014</v>
      </c>
      <c r="Q19" s="17">
        <f t="shared" si="12"/>
        <v>-41685.02472182794</v>
      </c>
      <c r="R19" s="17">
        <f t="shared" si="13"/>
        <v>155570.61215466424</v>
      </c>
    </row>
    <row r="20" spans="1:18" ht="15" customHeight="1" x14ac:dyDescent="0.25">
      <c r="A20" s="14">
        <v>17</v>
      </c>
      <c r="B20" s="21">
        <f>Raw_Data!B19</f>
        <v>-10.280355</v>
      </c>
      <c r="C20" s="21">
        <f>Raw_Data!C19</f>
        <v>17.806097999999999</v>
      </c>
      <c r="D20" s="15">
        <f>1</f>
        <v>1</v>
      </c>
      <c r="E20" s="15">
        <f t="shared" si="0"/>
        <v>-10.280355</v>
      </c>
      <c r="F20" s="15">
        <f t="shared" si="1"/>
        <v>17.806097999999999</v>
      </c>
      <c r="G20" s="15">
        <f t="shared" si="2"/>
        <v>105.685698926025</v>
      </c>
      <c r="H20" s="15">
        <f t="shared" si="3"/>
        <v>-183.05300860478999</v>
      </c>
      <c r="I20" s="15">
        <f t="shared" si="4"/>
        <v>317.05712598560393</v>
      </c>
      <c r="J20" s="15">
        <f t="shared" si="5"/>
        <v>-1086.4865033826557</v>
      </c>
      <c r="K20" s="15">
        <f t="shared" si="6"/>
        <v>1881.8499122752958</v>
      </c>
      <c r="L20" s="15">
        <f t="shared" si="7"/>
        <v>-3259.4598104117335</v>
      </c>
      <c r="M20" s="15">
        <f t="shared" si="8"/>
        <v>5645.55025689801</v>
      </c>
      <c r="N20" s="15">
        <f t="shared" si="9"/>
        <v>11169.466957482402</v>
      </c>
      <c r="O20" s="15">
        <f t="shared" si="10"/>
        <v>-19346.085154908898</v>
      </c>
      <c r="P20" s="15">
        <f t="shared" si="11"/>
        <v>33508.403959265313</v>
      </c>
      <c r="Q20" s="15">
        <f t="shared" si="12"/>
        <v>-58038.260811252745</v>
      </c>
      <c r="R20" s="15">
        <f t="shared" si="13"/>
        <v>100525.22113825113</v>
      </c>
    </row>
    <row r="21" spans="1:18" ht="15" customHeight="1" x14ac:dyDescent="0.25">
      <c r="A21" s="16">
        <v>18</v>
      </c>
      <c r="B21" s="21">
        <f>Raw_Data!B20</f>
        <v>-14.538618</v>
      </c>
      <c r="C21" s="21">
        <f>Raw_Data!C20</f>
        <v>14.538618</v>
      </c>
      <c r="D21" s="17">
        <f>1</f>
        <v>1</v>
      </c>
      <c r="E21" s="17">
        <f t="shared" si="0"/>
        <v>-14.538618</v>
      </c>
      <c r="F21" s="17">
        <f t="shared" si="1"/>
        <v>14.538618</v>
      </c>
      <c r="G21" s="17">
        <f t="shared" si="2"/>
        <v>211.37141334992398</v>
      </c>
      <c r="H21" s="17">
        <f t="shared" si="3"/>
        <v>-211.37141334992398</v>
      </c>
      <c r="I21" s="17">
        <f t="shared" si="4"/>
        <v>211.37141334992398</v>
      </c>
      <c r="J21" s="17">
        <f t="shared" si="5"/>
        <v>-3073.0482348146452</v>
      </c>
      <c r="K21" s="17">
        <f t="shared" si="6"/>
        <v>3073.0482348146452</v>
      </c>
      <c r="L21" s="17">
        <f t="shared" si="7"/>
        <v>-3073.0482348146452</v>
      </c>
      <c r="M21" s="17">
        <f t="shared" si="8"/>
        <v>3073.0482348146452</v>
      </c>
      <c r="N21" s="17">
        <f t="shared" si="9"/>
        <v>44677.874381544425</v>
      </c>
      <c r="O21" s="17">
        <f t="shared" si="10"/>
        <v>-44677.874381544425</v>
      </c>
      <c r="P21" s="17">
        <f t="shared" si="11"/>
        <v>44677.874381544425</v>
      </c>
      <c r="Q21" s="17">
        <f t="shared" si="12"/>
        <v>-44677.874381544425</v>
      </c>
      <c r="R21" s="17">
        <f t="shared" si="13"/>
        <v>44677.874381544425</v>
      </c>
    </row>
    <row r="22" spans="1:18" ht="15" customHeight="1" x14ac:dyDescent="0.25">
      <c r="A22" s="14">
        <v>19</v>
      </c>
      <c r="B22" s="21">
        <f>Raw_Data!B21</f>
        <v>-17.806097999999999</v>
      </c>
      <c r="C22" s="21">
        <f>Raw_Data!C21</f>
        <v>10.280355</v>
      </c>
      <c r="D22" s="15">
        <f>1</f>
        <v>1</v>
      </c>
      <c r="E22" s="15">
        <f t="shared" si="0"/>
        <v>-17.806097999999999</v>
      </c>
      <c r="F22" s="15">
        <f t="shared" si="1"/>
        <v>10.280355</v>
      </c>
      <c r="G22" s="15">
        <f t="shared" si="2"/>
        <v>317.05712598560393</v>
      </c>
      <c r="H22" s="15">
        <f t="shared" si="3"/>
        <v>-183.05300860478999</v>
      </c>
      <c r="I22" s="15">
        <f t="shared" si="4"/>
        <v>105.685698926025</v>
      </c>
      <c r="J22" s="15">
        <f t="shared" si="5"/>
        <v>-5645.55025689801</v>
      </c>
      <c r="K22" s="15">
        <f t="shared" si="6"/>
        <v>3259.4598104117335</v>
      </c>
      <c r="L22" s="15">
        <f t="shared" si="7"/>
        <v>-1881.8499122752958</v>
      </c>
      <c r="M22" s="15">
        <f t="shared" si="8"/>
        <v>1086.4865033826557</v>
      </c>
      <c r="N22" s="15">
        <f t="shared" si="9"/>
        <v>100525.22113825113</v>
      </c>
      <c r="O22" s="15">
        <f t="shared" si="10"/>
        <v>-58038.260811252745</v>
      </c>
      <c r="P22" s="15">
        <f t="shared" si="11"/>
        <v>33508.403959265313</v>
      </c>
      <c r="Q22" s="15">
        <f t="shared" si="12"/>
        <v>-19346.085154908898</v>
      </c>
      <c r="R22" s="15">
        <f t="shared" si="13"/>
        <v>11169.466957482402</v>
      </c>
    </row>
    <row r="23" spans="1:18" ht="15" customHeight="1" x14ac:dyDescent="0.25">
      <c r="A23" s="16">
        <v>20</v>
      </c>
      <c r="B23" s="21">
        <f>Raw_Data!B22</f>
        <v>-19.860120999999999</v>
      </c>
      <c r="C23" s="21">
        <f>Raw_Data!C22</f>
        <v>5.321504</v>
      </c>
      <c r="D23" s="17">
        <f>1</f>
        <v>1</v>
      </c>
      <c r="E23" s="17">
        <f t="shared" si="0"/>
        <v>-19.860120999999999</v>
      </c>
      <c r="F23" s="17">
        <f t="shared" si="1"/>
        <v>5.321504</v>
      </c>
      <c r="G23" s="17">
        <f t="shared" si="2"/>
        <v>394.424406134641</v>
      </c>
      <c r="H23" s="17">
        <f t="shared" si="3"/>
        <v>-105.685713341984</v>
      </c>
      <c r="I23" s="17">
        <f t="shared" si="4"/>
        <v>28.318404822015999</v>
      </c>
      <c r="J23" s="17">
        <f t="shared" si="5"/>
        <v>-7833.3164311871124</v>
      </c>
      <c r="K23" s="17">
        <f t="shared" si="6"/>
        <v>2098.9310549431166</v>
      </c>
      <c r="L23" s="17">
        <f t="shared" si="7"/>
        <v>-562.40694629222116</v>
      </c>
      <c r="M23" s="17">
        <f t="shared" si="8"/>
        <v>150.69650453397742</v>
      </c>
      <c r="N23" s="17">
        <f t="shared" si="9"/>
        <v>155570.61215466424</v>
      </c>
      <c r="O23" s="17">
        <f t="shared" si="10"/>
        <v>-41685.02472182794</v>
      </c>
      <c r="P23" s="17">
        <f t="shared" si="11"/>
        <v>11169.470004604014</v>
      </c>
      <c r="Q23" s="17">
        <f t="shared" si="12"/>
        <v>-2992.8508143218401</v>
      </c>
      <c r="R23" s="17">
        <f t="shared" si="13"/>
        <v>801.93205166357905</v>
      </c>
    </row>
    <row r="24" spans="1:18" ht="15" customHeight="1" x14ac:dyDescent="0.25">
      <c r="A24" s="14">
        <v>21</v>
      </c>
      <c r="B24" s="21">
        <f>Raw_Data!B23</f>
        <v>-20.560711000000001</v>
      </c>
      <c r="C24" s="21">
        <f>Raw_Data!C23</f>
        <v>0</v>
      </c>
      <c r="D24" s="15">
        <f>1</f>
        <v>1</v>
      </c>
      <c r="E24" s="15">
        <f t="shared" si="0"/>
        <v>-20.560711000000001</v>
      </c>
      <c r="F24" s="15">
        <f t="shared" si="1"/>
        <v>0</v>
      </c>
      <c r="G24" s="15">
        <f t="shared" si="2"/>
        <v>422.74283682552107</v>
      </c>
      <c r="H24" s="15">
        <f t="shared" si="3"/>
        <v>0</v>
      </c>
      <c r="I24" s="15">
        <f t="shared" si="4"/>
        <v>0</v>
      </c>
      <c r="J24" s="15">
        <f t="shared" si="5"/>
        <v>-8691.8932952896957</v>
      </c>
      <c r="K24" s="15">
        <f t="shared" si="6"/>
        <v>0</v>
      </c>
      <c r="L24" s="15">
        <f t="shared" si="7"/>
        <v>0</v>
      </c>
      <c r="M24" s="15">
        <f t="shared" si="8"/>
        <v>0</v>
      </c>
      <c r="N24" s="15">
        <f t="shared" si="9"/>
        <v>178711.50608728913</v>
      </c>
      <c r="O24" s="15">
        <f t="shared" si="10"/>
        <v>0</v>
      </c>
      <c r="P24" s="15">
        <f t="shared" si="11"/>
        <v>0</v>
      </c>
      <c r="Q24" s="15">
        <f t="shared" si="12"/>
        <v>0</v>
      </c>
      <c r="R24" s="15">
        <f t="shared" si="13"/>
        <v>0</v>
      </c>
    </row>
    <row r="25" spans="1:18" ht="15" customHeight="1" x14ac:dyDescent="0.25">
      <c r="A25" s="16">
        <v>22</v>
      </c>
      <c r="B25" s="21">
        <f>Raw_Data!B24</f>
        <v>0</v>
      </c>
      <c r="C25" s="21">
        <f>Raw_Data!C24</f>
        <v>30.841066000000001</v>
      </c>
      <c r="D25" s="17">
        <f>1</f>
        <v>1</v>
      </c>
      <c r="E25" s="17">
        <f t="shared" si="0"/>
        <v>0</v>
      </c>
      <c r="F25" s="17">
        <f t="shared" si="1"/>
        <v>30.841066000000001</v>
      </c>
      <c r="G25" s="17">
        <f t="shared" si="2"/>
        <v>0</v>
      </c>
      <c r="H25" s="17">
        <f t="shared" si="3"/>
        <v>0</v>
      </c>
      <c r="I25" s="17">
        <f t="shared" si="4"/>
        <v>951.17135201635608</v>
      </c>
      <c r="J25" s="17">
        <f t="shared" si="5"/>
        <v>0</v>
      </c>
      <c r="K25" s="17">
        <f t="shared" si="6"/>
        <v>0</v>
      </c>
      <c r="L25" s="17">
        <f t="shared" si="7"/>
        <v>0</v>
      </c>
      <c r="M25" s="17">
        <f t="shared" si="8"/>
        <v>29335.138444845674</v>
      </c>
      <c r="N25" s="17">
        <f t="shared" si="9"/>
        <v>0</v>
      </c>
      <c r="O25" s="17">
        <f t="shared" si="10"/>
        <v>0</v>
      </c>
      <c r="P25" s="17">
        <f t="shared" si="11"/>
        <v>0</v>
      </c>
      <c r="Q25" s="17">
        <f t="shared" si="12"/>
        <v>0</v>
      </c>
      <c r="R25" s="17">
        <f t="shared" si="13"/>
        <v>904726.94089662272</v>
      </c>
    </row>
    <row r="26" spans="1:18" ht="15" customHeight="1" x14ac:dyDescent="0.25">
      <c r="A26" s="14">
        <v>23</v>
      </c>
      <c r="B26" s="21">
        <f>Raw_Data!B25</f>
        <v>-7.9822550000000003</v>
      </c>
      <c r="C26" s="21">
        <f>Raw_Data!C25</f>
        <v>29.790182000000001</v>
      </c>
      <c r="D26" s="15">
        <f>1</f>
        <v>1</v>
      </c>
      <c r="E26" s="15">
        <f t="shared" si="0"/>
        <v>-7.9822550000000003</v>
      </c>
      <c r="F26" s="15">
        <f t="shared" si="1"/>
        <v>29.790182000000001</v>
      </c>
      <c r="G26" s="15">
        <f t="shared" si="2"/>
        <v>63.716394885025004</v>
      </c>
      <c r="H26" s="15">
        <f t="shared" si="3"/>
        <v>-237.79282922041003</v>
      </c>
      <c r="I26" s="15">
        <f t="shared" si="4"/>
        <v>887.45494359312409</v>
      </c>
      <c r="J26" s="15">
        <f t="shared" si="5"/>
        <v>-508.60051165296528</v>
      </c>
      <c r="K26" s="15">
        <f t="shared" si="6"/>
        <v>1898.1230000087639</v>
      </c>
      <c r="L26" s="15">
        <f t="shared" si="7"/>
        <v>-7083.8916607709334</v>
      </c>
      <c r="M26" s="15">
        <f t="shared" si="8"/>
        <v>26437.444286438902</v>
      </c>
      <c r="N26" s="15">
        <f t="shared" si="9"/>
        <v>4059.7789771444404</v>
      </c>
      <c r="O26" s="15">
        <f t="shared" si="10"/>
        <v>-15151.301807434957</v>
      </c>
      <c r="P26" s="15">
        <f t="shared" si="11"/>
        <v>56545.429628647085</v>
      </c>
      <c r="Q26" s="15">
        <f t="shared" si="12"/>
        <v>-211030.42184264836</v>
      </c>
      <c r="R26" s="15">
        <f t="shared" si="13"/>
        <v>787576.27690787509</v>
      </c>
    </row>
    <row r="27" spans="1:18" ht="15" customHeight="1" x14ac:dyDescent="0.25">
      <c r="A27" s="16">
        <v>24</v>
      </c>
      <c r="B27" s="21">
        <f>Raw_Data!B26</f>
        <v>-15.420533000000001</v>
      </c>
      <c r="C27" s="21">
        <f>Raw_Data!C26</f>
        <v>26.709147000000002</v>
      </c>
      <c r="D27" s="17">
        <f>1</f>
        <v>1</v>
      </c>
      <c r="E27" s="17">
        <f t="shared" si="0"/>
        <v>-15.420533000000001</v>
      </c>
      <c r="F27" s="17">
        <f t="shared" si="1"/>
        <v>26.709147000000002</v>
      </c>
      <c r="G27" s="17">
        <f t="shared" si="2"/>
        <v>237.79283800408902</v>
      </c>
      <c r="H27" s="17">
        <f t="shared" si="3"/>
        <v>-411.86928271535106</v>
      </c>
      <c r="I27" s="17">
        <f t="shared" si="4"/>
        <v>713.37853346760903</v>
      </c>
      <c r="J27" s="17">
        <f t="shared" si="5"/>
        <v>-3666.8923056057092</v>
      </c>
      <c r="K27" s="17">
        <f t="shared" si="6"/>
        <v>6351.2438657984003</v>
      </c>
      <c r="L27" s="17">
        <f t="shared" si="7"/>
        <v>-11000.67721682887</v>
      </c>
      <c r="M27" s="17">
        <f t="shared" si="8"/>
        <v>19053.732117030791</v>
      </c>
      <c r="N27" s="17">
        <f t="shared" si="9"/>
        <v>56545.43380603892</v>
      </c>
      <c r="O27" s="17">
        <f t="shared" si="10"/>
        <v>-97939.565623591814</v>
      </c>
      <c r="P27" s="17">
        <f t="shared" si="11"/>
        <v>169636.30604445774</v>
      </c>
      <c r="Q27" s="17">
        <f t="shared" si="12"/>
        <v>-293818.70488383318</v>
      </c>
      <c r="R27" s="17">
        <f t="shared" si="13"/>
        <v>508908.93201239657</v>
      </c>
    </row>
    <row r="28" spans="1:18" ht="15" customHeight="1" x14ac:dyDescent="0.25">
      <c r="A28" s="14">
        <v>25</v>
      </c>
      <c r="B28" s="21">
        <f>Raw_Data!B27</f>
        <v>-21.807926999999999</v>
      </c>
      <c r="C28" s="21">
        <f>Raw_Data!C27</f>
        <v>21.807926999999999</v>
      </c>
      <c r="D28" s="15">
        <f>1</f>
        <v>1</v>
      </c>
      <c r="E28" s="15">
        <f t="shared" si="0"/>
        <v>-21.807926999999999</v>
      </c>
      <c r="F28" s="15">
        <f t="shared" si="1"/>
        <v>21.807926999999999</v>
      </c>
      <c r="G28" s="15">
        <f t="shared" si="2"/>
        <v>475.58568003732898</v>
      </c>
      <c r="H28" s="15">
        <f t="shared" si="3"/>
        <v>-475.58568003732898</v>
      </c>
      <c r="I28" s="15">
        <f t="shared" si="4"/>
        <v>475.58568003732898</v>
      </c>
      <c r="J28" s="15">
        <f t="shared" si="5"/>
        <v>-10371.537792499428</v>
      </c>
      <c r="K28" s="15">
        <f t="shared" si="6"/>
        <v>10371.537792499428</v>
      </c>
      <c r="L28" s="15">
        <f t="shared" si="7"/>
        <v>-10371.537792499428</v>
      </c>
      <c r="M28" s="15">
        <f t="shared" si="8"/>
        <v>10371.537792499428</v>
      </c>
      <c r="N28" s="15">
        <f t="shared" si="9"/>
        <v>226181.73905656865</v>
      </c>
      <c r="O28" s="15">
        <f t="shared" si="10"/>
        <v>-226181.73905656868</v>
      </c>
      <c r="P28" s="15">
        <f t="shared" si="11"/>
        <v>226181.73905656865</v>
      </c>
      <c r="Q28" s="15">
        <f t="shared" si="12"/>
        <v>-226181.73905656868</v>
      </c>
      <c r="R28" s="15">
        <f t="shared" si="13"/>
        <v>226181.73905656865</v>
      </c>
    </row>
    <row r="29" spans="1:18" ht="15" customHeight="1" x14ac:dyDescent="0.25">
      <c r="A29" s="16">
        <v>26</v>
      </c>
      <c r="B29" s="21">
        <f>Raw_Data!B28</f>
        <v>-26.709147000000002</v>
      </c>
      <c r="C29" s="21">
        <f>Raw_Data!C28</f>
        <v>15.420533000000001</v>
      </c>
      <c r="D29" s="17">
        <f>1</f>
        <v>1</v>
      </c>
      <c r="E29" s="17">
        <f t="shared" si="0"/>
        <v>-26.709147000000002</v>
      </c>
      <c r="F29" s="17">
        <f t="shared" si="1"/>
        <v>15.420533000000001</v>
      </c>
      <c r="G29" s="17">
        <f t="shared" si="2"/>
        <v>713.37853346760903</v>
      </c>
      <c r="H29" s="17">
        <f t="shared" si="3"/>
        <v>-411.86928271535106</v>
      </c>
      <c r="I29" s="17">
        <f t="shared" si="4"/>
        <v>237.79283800408902</v>
      </c>
      <c r="J29" s="17">
        <f t="shared" si="5"/>
        <v>-19053.732117030791</v>
      </c>
      <c r="K29" s="17">
        <f t="shared" si="6"/>
        <v>11000.67721682887</v>
      </c>
      <c r="L29" s="17">
        <f t="shared" si="7"/>
        <v>-6351.2438657984003</v>
      </c>
      <c r="M29" s="17">
        <f t="shared" si="8"/>
        <v>3666.8923056057092</v>
      </c>
      <c r="N29" s="17">
        <f t="shared" si="9"/>
        <v>508908.93201239657</v>
      </c>
      <c r="O29" s="17">
        <f t="shared" si="10"/>
        <v>-293818.70488383318</v>
      </c>
      <c r="P29" s="17">
        <f t="shared" si="11"/>
        <v>169636.30604445774</v>
      </c>
      <c r="Q29" s="17">
        <f t="shared" si="12"/>
        <v>-97939.565623591814</v>
      </c>
      <c r="R29" s="17">
        <f t="shared" si="13"/>
        <v>56545.43380603892</v>
      </c>
    </row>
    <row r="30" spans="1:18" ht="15" customHeight="1" x14ac:dyDescent="0.25">
      <c r="A30" s="14">
        <v>27</v>
      </c>
      <c r="B30" s="21">
        <f>Raw_Data!B29</f>
        <v>-29.790182000000001</v>
      </c>
      <c r="C30" s="21">
        <f>Raw_Data!C29</f>
        <v>7.9822550000000003</v>
      </c>
      <c r="D30" s="15">
        <f>1</f>
        <v>1</v>
      </c>
      <c r="E30" s="15">
        <f t="shared" si="0"/>
        <v>-29.790182000000001</v>
      </c>
      <c r="F30" s="15">
        <f t="shared" si="1"/>
        <v>7.9822550000000003</v>
      </c>
      <c r="G30" s="15">
        <f t="shared" si="2"/>
        <v>887.45494359312409</v>
      </c>
      <c r="H30" s="15">
        <f t="shared" si="3"/>
        <v>-237.79282922041003</v>
      </c>
      <c r="I30" s="15">
        <f t="shared" si="4"/>
        <v>63.716394885025004</v>
      </c>
      <c r="J30" s="15">
        <f t="shared" si="5"/>
        <v>-26437.444286438902</v>
      </c>
      <c r="K30" s="15">
        <f t="shared" si="6"/>
        <v>7083.8916607709334</v>
      </c>
      <c r="L30" s="15">
        <f t="shared" si="7"/>
        <v>-1898.1230000087639</v>
      </c>
      <c r="M30" s="15">
        <f t="shared" si="8"/>
        <v>508.60051165296528</v>
      </c>
      <c r="N30" s="15">
        <f t="shared" si="9"/>
        <v>787576.27690787509</v>
      </c>
      <c r="O30" s="15">
        <f t="shared" si="10"/>
        <v>-211030.42184264836</v>
      </c>
      <c r="P30" s="15">
        <f t="shared" si="11"/>
        <v>56545.429628647085</v>
      </c>
      <c r="Q30" s="15">
        <f t="shared" si="12"/>
        <v>-15151.301807434957</v>
      </c>
      <c r="R30" s="15">
        <f t="shared" si="13"/>
        <v>4059.7789771444404</v>
      </c>
    </row>
    <row r="31" spans="1:18" ht="15" customHeight="1" x14ac:dyDescent="0.25">
      <c r="A31" s="16">
        <v>28</v>
      </c>
      <c r="B31" s="21">
        <f>Raw_Data!B30</f>
        <v>-30.841066000000001</v>
      </c>
      <c r="C31" s="21">
        <f>Raw_Data!C30</f>
        <v>0</v>
      </c>
      <c r="D31" s="17">
        <f>1</f>
        <v>1</v>
      </c>
      <c r="E31" s="17">
        <f t="shared" si="0"/>
        <v>-30.841066000000001</v>
      </c>
      <c r="F31" s="17">
        <f t="shared" si="1"/>
        <v>0</v>
      </c>
      <c r="G31" s="17">
        <f t="shared" si="2"/>
        <v>951.17135201635608</v>
      </c>
      <c r="H31" s="17">
        <f t="shared" si="3"/>
        <v>0</v>
      </c>
      <c r="I31" s="17">
        <f t="shared" si="4"/>
        <v>0</v>
      </c>
      <c r="J31" s="17">
        <f t="shared" si="5"/>
        <v>-29335.138444845674</v>
      </c>
      <c r="K31" s="17">
        <f t="shared" si="6"/>
        <v>0</v>
      </c>
      <c r="L31" s="17">
        <f t="shared" si="7"/>
        <v>0</v>
      </c>
      <c r="M31" s="17">
        <f t="shared" si="8"/>
        <v>0</v>
      </c>
      <c r="N31" s="17">
        <f t="shared" si="9"/>
        <v>904726.94089662272</v>
      </c>
      <c r="O31" s="17">
        <f t="shared" si="10"/>
        <v>0</v>
      </c>
      <c r="P31" s="17">
        <f t="shared" si="11"/>
        <v>0</v>
      </c>
      <c r="Q31" s="17">
        <f t="shared" si="12"/>
        <v>0</v>
      </c>
      <c r="R31" s="17">
        <f t="shared" si="13"/>
        <v>0</v>
      </c>
    </row>
    <row r="32" spans="1:18" ht="15" customHeight="1" x14ac:dyDescent="0.25">
      <c r="A32" s="14">
        <v>29</v>
      </c>
      <c r="B32" s="21">
        <f>Raw_Data!B31</f>
        <v>0</v>
      </c>
      <c r="C32" s="21">
        <f>Raw_Data!C31</f>
        <v>41.121420999999998</v>
      </c>
      <c r="D32" s="15">
        <f>1</f>
        <v>1</v>
      </c>
      <c r="E32" s="15">
        <f t="shared" si="0"/>
        <v>0</v>
      </c>
      <c r="F32" s="15">
        <f t="shared" si="1"/>
        <v>41.121420999999998</v>
      </c>
      <c r="G32" s="15">
        <f t="shared" si="2"/>
        <v>0</v>
      </c>
      <c r="H32" s="15">
        <f t="shared" si="3"/>
        <v>0</v>
      </c>
      <c r="I32" s="15">
        <f t="shared" si="4"/>
        <v>1690.9712650592407</v>
      </c>
      <c r="J32" s="15">
        <f t="shared" si="5"/>
        <v>0</v>
      </c>
      <c r="K32" s="15">
        <f t="shared" si="6"/>
        <v>0</v>
      </c>
      <c r="L32" s="15">
        <f t="shared" si="7"/>
        <v>0</v>
      </c>
      <c r="M32" s="15">
        <f t="shared" si="8"/>
        <v>69535.141289403618</v>
      </c>
      <c r="N32" s="15">
        <f t="shared" si="9"/>
        <v>0</v>
      </c>
      <c r="O32" s="15">
        <f t="shared" si="10"/>
        <v>0</v>
      </c>
      <c r="P32" s="15">
        <f t="shared" si="11"/>
        <v>0</v>
      </c>
      <c r="Q32" s="15">
        <f t="shared" si="12"/>
        <v>0</v>
      </c>
      <c r="R32" s="15">
        <f t="shared" si="13"/>
        <v>2859383.8192560491</v>
      </c>
    </row>
    <row r="33" spans="1:18" ht="15" customHeight="1" x14ac:dyDescent="0.25">
      <c r="A33" s="16">
        <v>30</v>
      </c>
      <c r="B33" s="21">
        <f>Raw_Data!B32</f>
        <v>-10.643007000000001</v>
      </c>
      <c r="C33" s="21">
        <f>Raw_Data!C32</f>
        <v>39.720243000000004</v>
      </c>
      <c r="D33" s="17">
        <f>1</f>
        <v>1</v>
      </c>
      <c r="E33" s="17">
        <f t="shared" si="0"/>
        <v>-10.643007000000001</v>
      </c>
      <c r="F33" s="17">
        <f t="shared" si="1"/>
        <v>39.720243000000004</v>
      </c>
      <c r="G33" s="17">
        <f t="shared" si="2"/>
        <v>113.27359800204901</v>
      </c>
      <c r="H33" s="17">
        <f t="shared" si="3"/>
        <v>-422.74282429070109</v>
      </c>
      <c r="I33" s="17">
        <f t="shared" si="4"/>
        <v>1577.6977039790493</v>
      </c>
      <c r="J33" s="17">
        <f t="shared" si="5"/>
        <v>-1205.5716964509938</v>
      </c>
      <c r="K33" s="17">
        <f t="shared" si="6"/>
        <v>4499.254838125702</v>
      </c>
      <c r="L33" s="17">
        <f t="shared" si="7"/>
        <v>-16791.447707332951</v>
      </c>
      <c r="M33" s="17">
        <f t="shared" si="8"/>
        <v>62666.536182589909</v>
      </c>
      <c r="N33" s="17">
        <f t="shared" si="9"/>
        <v>12830.908004329802</v>
      </c>
      <c r="O33" s="17">
        <f t="shared" si="10"/>
        <v>-47885.600736955719</v>
      </c>
      <c r="P33" s="17">
        <f t="shared" si="11"/>
        <v>178711.49548927855</v>
      </c>
      <c r="Q33" s="17">
        <f t="shared" si="12"/>
        <v>-666960.38325705775</v>
      </c>
      <c r="R33" s="17">
        <f t="shared" si="13"/>
        <v>2489130.0451407637</v>
      </c>
    </row>
    <row r="34" spans="1:18" ht="15" customHeight="1" x14ac:dyDescent="0.25">
      <c r="A34" s="14">
        <v>31</v>
      </c>
      <c r="B34" s="21">
        <f>Raw_Data!B33</f>
        <v>-20.560711000000001</v>
      </c>
      <c r="C34" s="21">
        <f>Raw_Data!C33</f>
        <v>35.612195999999997</v>
      </c>
      <c r="D34" s="15">
        <f>1</f>
        <v>1</v>
      </c>
      <c r="E34" s="15">
        <f t="shared" si="0"/>
        <v>-20.560711000000001</v>
      </c>
      <c r="F34" s="15">
        <f t="shared" si="1"/>
        <v>35.612195999999997</v>
      </c>
      <c r="G34" s="15">
        <f t="shared" si="2"/>
        <v>422.74283682552107</v>
      </c>
      <c r="H34" s="15">
        <f t="shared" si="3"/>
        <v>-732.21207003135601</v>
      </c>
      <c r="I34" s="15">
        <f t="shared" si="4"/>
        <v>1268.2285039424157</v>
      </c>
      <c r="J34" s="15">
        <f t="shared" si="5"/>
        <v>-8691.8932952896957</v>
      </c>
      <c r="K34" s="15">
        <f t="shared" si="6"/>
        <v>15054.800762626473</v>
      </c>
      <c r="L34" s="15">
        <f t="shared" si="7"/>
        <v>-26075.679751522373</v>
      </c>
      <c r="M34" s="15">
        <f t="shared" si="8"/>
        <v>45164.40205518408</v>
      </c>
      <c r="N34" s="15">
        <f t="shared" si="9"/>
        <v>178711.50608728913</v>
      </c>
      <c r="O34" s="15">
        <f t="shared" si="10"/>
        <v>-309537.4076429425</v>
      </c>
      <c r="P34" s="15">
        <f t="shared" si="11"/>
        <v>536134.51549960335</v>
      </c>
      <c r="Q34" s="15">
        <f t="shared" si="12"/>
        <v>-928612.21814444603</v>
      </c>
      <c r="R34" s="15">
        <f t="shared" si="13"/>
        <v>1608403.5382120181</v>
      </c>
    </row>
    <row r="35" spans="1:18" ht="15" customHeight="1" x14ac:dyDescent="0.25">
      <c r="A35" s="16">
        <v>32</v>
      </c>
      <c r="B35" s="21">
        <f>Raw_Data!B34</f>
        <v>-29.077235999999999</v>
      </c>
      <c r="C35" s="21">
        <f>Raw_Data!C34</f>
        <v>29.077235999999999</v>
      </c>
      <c r="D35" s="17">
        <f>1</f>
        <v>1</v>
      </c>
      <c r="E35" s="17">
        <f t="shared" si="0"/>
        <v>-29.077235999999999</v>
      </c>
      <c r="F35" s="17">
        <f t="shared" si="1"/>
        <v>29.077235999999999</v>
      </c>
      <c r="G35" s="17">
        <f t="shared" si="2"/>
        <v>845.48565339969593</v>
      </c>
      <c r="H35" s="17">
        <f t="shared" si="3"/>
        <v>-845.48565339969593</v>
      </c>
      <c r="I35" s="17">
        <f t="shared" si="4"/>
        <v>845.48565339969593</v>
      </c>
      <c r="J35" s="17">
        <f t="shared" si="5"/>
        <v>-24584.385878517161</v>
      </c>
      <c r="K35" s="17">
        <f t="shared" si="6"/>
        <v>24584.385878517161</v>
      </c>
      <c r="L35" s="17">
        <f t="shared" si="7"/>
        <v>-24584.385878517161</v>
      </c>
      <c r="M35" s="17">
        <f t="shared" si="8"/>
        <v>24584.385878517161</v>
      </c>
      <c r="N35" s="17">
        <f t="shared" si="9"/>
        <v>714845.9901047108</v>
      </c>
      <c r="O35" s="17">
        <f t="shared" si="10"/>
        <v>-714845.9901047108</v>
      </c>
      <c r="P35" s="17">
        <f t="shared" si="11"/>
        <v>714845.9901047108</v>
      </c>
      <c r="Q35" s="17">
        <f t="shared" si="12"/>
        <v>-714845.9901047108</v>
      </c>
      <c r="R35" s="17">
        <f t="shared" si="13"/>
        <v>714845.9901047108</v>
      </c>
    </row>
    <row r="36" spans="1:18" ht="15" customHeight="1" x14ac:dyDescent="0.25">
      <c r="A36" s="14">
        <v>33</v>
      </c>
      <c r="B36" s="21">
        <f>Raw_Data!B35</f>
        <v>-35.612195999999997</v>
      </c>
      <c r="C36" s="21">
        <f>Raw_Data!C35</f>
        <v>20.560711000000001</v>
      </c>
      <c r="D36" s="15">
        <f>1</f>
        <v>1</v>
      </c>
      <c r="E36" s="15">
        <f t="shared" ref="E36:E67" si="14">B36</f>
        <v>-35.612195999999997</v>
      </c>
      <c r="F36" s="15">
        <f t="shared" ref="F36:F67" si="15">C36</f>
        <v>20.560711000000001</v>
      </c>
      <c r="G36" s="15">
        <f t="shared" ref="G36:G67" si="16">B36^2</f>
        <v>1268.2285039424157</v>
      </c>
      <c r="H36" s="15">
        <f t="shared" ref="H36:H67" si="17">B36*C36</f>
        <v>-732.21207003135601</v>
      </c>
      <c r="I36" s="15">
        <f t="shared" ref="I36:I67" si="18">C36^2</f>
        <v>422.74283682552107</v>
      </c>
      <c r="J36" s="15">
        <f t="shared" ref="J36:J67" si="19">B36^3</f>
        <v>-45164.40205518408</v>
      </c>
      <c r="K36" s="15">
        <f t="shared" ref="K36:K67" si="20">B36^2*C36</f>
        <v>26075.679751522373</v>
      </c>
      <c r="L36" s="15">
        <f t="shared" ref="L36:L67" si="21">B36*C36^2</f>
        <v>-15054.800762626473</v>
      </c>
      <c r="M36" s="15">
        <f t="shared" ref="M36:M67" si="22">C36^3</f>
        <v>8691.8932952896957</v>
      </c>
      <c r="N36" s="15">
        <f t="shared" ref="N36:N67" si="23">B36^4</f>
        <v>1608403.5382120181</v>
      </c>
      <c r="O36" s="15">
        <f t="shared" ref="O36:O67" si="24">B36^3*C36</f>
        <v>-928612.21814444603</v>
      </c>
      <c r="P36" s="15">
        <f t="shared" ref="P36:P67" si="25">B36^2*C36^2</f>
        <v>536134.51549960335</v>
      </c>
      <c r="Q36" s="15">
        <f t="shared" ref="Q36:Q67" si="26">B36*C36^3</f>
        <v>-309537.4076429425</v>
      </c>
      <c r="R36" s="15">
        <f t="shared" ref="R36:R67" si="27">C36^4</f>
        <v>178711.50608728913</v>
      </c>
    </row>
    <row r="37" spans="1:18" ht="15" customHeight="1" x14ac:dyDescent="0.25">
      <c r="A37" s="16">
        <v>34</v>
      </c>
      <c r="B37" s="21">
        <f>Raw_Data!B36</f>
        <v>-39.720243000000004</v>
      </c>
      <c r="C37" s="21">
        <f>Raw_Data!C36</f>
        <v>10.643007000000001</v>
      </c>
      <c r="D37" s="17">
        <f>1</f>
        <v>1</v>
      </c>
      <c r="E37" s="17">
        <f t="shared" si="14"/>
        <v>-39.720243000000004</v>
      </c>
      <c r="F37" s="17">
        <f t="shared" si="15"/>
        <v>10.643007000000001</v>
      </c>
      <c r="G37" s="17">
        <f t="shared" si="16"/>
        <v>1577.6977039790493</v>
      </c>
      <c r="H37" s="17">
        <f t="shared" si="17"/>
        <v>-422.74282429070109</v>
      </c>
      <c r="I37" s="17">
        <f t="shared" si="18"/>
        <v>113.27359800204901</v>
      </c>
      <c r="J37" s="17">
        <f t="shared" si="19"/>
        <v>-62666.536182589909</v>
      </c>
      <c r="K37" s="17">
        <f t="shared" si="20"/>
        <v>16791.447707332951</v>
      </c>
      <c r="L37" s="17">
        <f t="shared" si="21"/>
        <v>-4499.254838125702</v>
      </c>
      <c r="M37" s="17">
        <f t="shared" si="22"/>
        <v>1205.5716964509938</v>
      </c>
      <c r="N37" s="17">
        <f t="shared" si="23"/>
        <v>2489130.0451407637</v>
      </c>
      <c r="O37" s="17">
        <f t="shared" si="24"/>
        <v>-666960.38325705775</v>
      </c>
      <c r="P37" s="17">
        <f t="shared" si="25"/>
        <v>178711.49548927855</v>
      </c>
      <c r="Q37" s="17">
        <f t="shared" si="26"/>
        <v>-47885.600736955719</v>
      </c>
      <c r="R37" s="17">
        <f t="shared" si="27"/>
        <v>12830.908004329802</v>
      </c>
    </row>
    <row r="38" spans="1:18" ht="15" customHeight="1" x14ac:dyDescent="0.25">
      <c r="A38" s="14">
        <v>35</v>
      </c>
      <c r="B38" s="21">
        <f>Raw_Data!B37</f>
        <v>-41.121420999999998</v>
      </c>
      <c r="C38" s="21">
        <f>Raw_Data!C37</f>
        <v>0</v>
      </c>
      <c r="D38" s="15">
        <f>1</f>
        <v>1</v>
      </c>
      <c r="E38" s="15">
        <f t="shared" si="14"/>
        <v>-41.121420999999998</v>
      </c>
      <c r="F38" s="15">
        <f t="shared" si="15"/>
        <v>0</v>
      </c>
      <c r="G38" s="15">
        <f t="shared" si="16"/>
        <v>1690.9712650592407</v>
      </c>
      <c r="H38" s="15">
        <f t="shared" si="17"/>
        <v>0</v>
      </c>
      <c r="I38" s="15">
        <f t="shared" si="18"/>
        <v>0</v>
      </c>
      <c r="J38" s="15">
        <f t="shared" si="19"/>
        <v>-69535.141289403618</v>
      </c>
      <c r="K38" s="15">
        <f t="shared" si="20"/>
        <v>0</v>
      </c>
      <c r="L38" s="15">
        <f t="shared" si="21"/>
        <v>0</v>
      </c>
      <c r="M38" s="15">
        <f t="shared" si="22"/>
        <v>0</v>
      </c>
      <c r="N38" s="15">
        <f t="shared" si="23"/>
        <v>2859383.8192560491</v>
      </c>
      <c r="O38" s="15">
        <f t="shared" si="24"/>
        <v>0</v>
      </c>
      <c r="P38" s="15">
        <f t="shared" si="25"/>
        <v>0</v>
      </c>
      <c r="Q38" s="15">
        <f t="shared" si="26"/>
        <v>0</v>
      </c>
      <c r="R38" s="15">
        <f t="shared" si="27"/>
        <v>0</v>
      </c>
    </row>
    <row r="39" spans="1:18" ht="15" customHeight="1" x14ac:dyDescent="0.25">
      <c r="A39" s="16">
        <v>36</v>
      </c>
      <c r="B39" s="21">
        <f>Raw_Data!B38</f>
        <v>0</v>
      </c>
      <c r="C39" s="21">
        <f>Raw_Data!C38</f>
        <v>51.401777000000003</v>
      </c>
      <c r="D39" s="17">
        <f>1</f>
        <v>1</v>
      </c>
      <c r="E39" s="17">
        <f t="shared" si="14"/>
        <v>0</v>
      </c>
      <c r="F39" s="17">
        <f t="shared" si="15"/>
        <v>51.401777000000003</v>
      </c>
      <c r="G39" s="17">
        <f t="shared" si="16"/>
        <v>0</v>
      </c>
      <c r="H39" s="17">
        <f t="shared" si="17"/>
        <v>0</v>
      </c>
      <c r="I39" s="17">
        <f t="shared" si="18"/>
        <v>2642.1426787577293</v>
      </c>
      <c r="J39" s="17">
        <f t="shared" si="19"/>
        <v>0</v>
      </c>
      <c r="K39" s="17">
        <f t="shared" si="20"/>
        <v>0</v>
      </c>
      <c r="L39" s="17">
        <f t="shared" si="21"/>
        <v>0</v>
      </c>
      <c r="M39" s="17">
        <f t="shared" si="22"/>
        <v>135810.82877568743</v>
      </c>
      <c r="N39" s="17">
        <f t="shared" si="23"/>
        <v>0</v>
      </c>
      <c r="O39" s="17">
        <f t="shared" si="24"/>
        <v>0</v>
      </c>
      <c r="P39" s="17">
        <f t="shared" si="25"/>
        <v>0</v>
      </c>
      <c r="Q39" s="17">
        <f t="shared" si="26"/>
        <v>0</v>
      </c>
      <c r="R39" s="17">
        <f t="shared" si="27"/>
        <v>6980917.9349130699</v>
      </c>
    </row>
    <row r="40" spans="1:18" ht="15" customHeight="1" x14ac:dyDescent="0.25">
      <c r="A40" s="14">
        <v>37</v>
      </c>
      <c r="B40" s="21">
        <f>Raw_Data!B39</f>
        <v>-13.303758999999999</v>
      </c>
      <c r="C40" s="21">
        <f>Raw_Data!C39</f>
        <v>49.650303999999998</v>
      </c>
      <c r="D40" s="15">
        <f>1</f>
        <v>1</v>
      </c>
      <c r="E40" s="15">
        <f t="shared" si="14"/>
        <v>-13.303758999999999</v>
      </c>
      <c r="F40" s="15">
        <f t="shared" si="15"/>
        <v>49.650303999999998</v>
      </c>
      <c r="G40" s="15">
        <f t="shared" si="16"/>
        <v>176.990003530081</v>
      </c>
      <c r="H40" s="15">
        <f t="shared" si="17"/>
        <v>-660.53567869273593</v>
      </c>
      <c r="I40" s="15">
        <f t="shared" si="18"/>
        <v>2465.152687292416</v>
      </c>
      <c r="J40" s="15">
        <f t="shared" si="19"/>
        <v>-2354.6323523733467</v>
      </c>
      <c r="K40" s="15">
        <f t="shared" si="20"/>
        <v>8787.6074802295952</v>
      </c>
      <c r="L40" s="15">
        <f t="shared" si="21"/>
        <v>-32795.797249940661</v>
      </c>
      <c r="M40" s="15">
        <f t="shared" si="22"/>
        <v>122395.58033048539</v>
      </c>
      <c r="N40" s="15">
        <f t="shared" si="23"/>
        <v>31325.461349578083</v>
      </c>
      <c r="O40" s="15">
        <f t="shared" si="24"/>
        <v>-116908.21210357179</v>
      </c>
      <c r="P40" s="15">
        <f t="shared" si="25"/>
        <v>436307.38282607339</v>
      </c>
      <c r="Q40" s="15">
        <f t="shared" si="26"/>
        <v>-1628321.303381918</v>
      </c>
      <c r="R40" s="15">
        <f t="shared" si="27"/>
        <v>6076977.7716650199</v>
      </c>
    </row>
    <row r="41" spans="1:18" ht="15" customHeight="1" x14ac:dyDescent="0.25">
      <c r="A41" s="16">
        <v>38</v>
      </c>
      <c r="B41" s="21">
        <f>Raw_Data!B40</f>
        <v>-25.700887999999999</v>
      </c>
      <c r="C41" s="21">
        <f>Raw_Data!C40</f>
        <v>44.515244000000003</v>
      </c>
      <c r="D41" s="17">
        <f>1</f>
        <v>1</v>
      </c>
      <c r="E41" s="17">
        <f t="shared" si="14"/>
        <v>-25.700887999999999</v>
      </c>
      <c r="F41" s="17">
        <f t="shared" si="15"/>
        <v>44.515244000000003</v>
      </c>
      <c r="G41" s="17">
        <f t="shared" si="16"/>
        <v>660.53564398854394</v>
      </c>
      <c r="H41" s="17">
        <f t="shared" si="17"/>
        <v>-1144.081300336672</v>
      </c>
      <c r="I41" s="17">
        <f t="shared" si="18"/>
        <v>1981.6069483795363</v>
      </c>
      <c r="J41" s="17">
        <f t="shared" si="19"/>
        <v>-16976.352606157441</v>
      </c>
      <c r="K41" s="17">
        <f t="shared" si="20"/>
        <v>29403.90536284717</v>
      </c>
      <c r="L41" s="17">
        <f t="shared" si="21"/>
        <v>-50929.058240324244</v>
      </c>
      <c r="M41" s="17">
        <f t="shared" si="22"/>
        <v>88211.716819210473</v>
      </c>
      <c r="N41" s="17">
        <f t="shared" si="23"/>
        <v>436307.33697936044</v>
      </c>
      <c r="O41" s="17">
        <f t="shared" si="24"/>
        <v>-755706.47849313449</v>
      </c>
      <c r="P41" s="17">
        <f t="shared" si="25"/>
        <v>1308922.0217800504</v>
      </c>
      <c r="Q41" s="17">
        <f t="shared" si="26"/>
        <v>-2267119.4542582445</v>
      </c>
      <c r="R41" s="17">
        <f t="shared" si="27"/>
        <v>3926766.0978660583</v>
      </c>
    </row>
    <row r="42" spans="1:18" ht="15" customHeight="1" x14ac:dyDescent="0.25">
      <c r="A42" s="14">
        <v>39</v>
      </c>
      <c r="B42" s="21">
        <f>Raw_Data!B41</f>
        <v>-36.346544999999999</v>
      </c>
      <c r="C42" s="21">
        <f>Raw_Data!C41</f>
        <v>36.346544999999999</v>
      </c>
      <c r="D42" s="15">
        <f>1</f>
        <v>1</v>
      </c>
      <c r="E42" s="15">
        <f t="shared" si="14"/>
        <v>-36.346544999999999</v>
      </c>
      <c r="F42" s="15">
        <f t="shared" si="15"/>
        <v>36.346544999999999</v>
      </c>
      <c r="G42" s="15">
        <f t="shared" si="16"/>
        <v>1321.071333437025</v>
      </c>
      <c r="H42" s="15">
        <f t="shared" si="17"/>
        <v>-1321.071333437025</v>
      </c>
      <c r="I42" s="15">
        <f t="shared" si="18"/>
        <v>1321.071333437025</v>
      </c>
      <c r="J42" s="15">
        <f t="shared" si="19"/>
        <v>-48016.378668978832</v>
      </c>
      <c r="K42" s="15">
        <f t="shared" si="20"/>
        <v>48016.378668978832</v>
      </c>
      <c r="L42" s="15">
        <f t="shared" si="21"/>
        <v>-48016.378668978832</v>
      </c>
      <c r="M42" s="15">
        <f t="shared" si="22"/>
        <v>48016.378668978832</v>
      </c>
      <c r="N42" s="15">
        <f t="shared" si="23"/>
        <v>1745229.4680290793</v>
      </c>
      <c r="O42" s="15">
        <f t="shared" si="24"/>
        <v>-1745229.4680290793</v>
      </c>
      <c r="P42" s="15">
        <f t="shared" si="25"/>
        <v>1745229.4680290793</v>
      </c>
      <c r="Q42" s="15">
        <f t="shared" si="26"/>
        <v>-1745229.4680290793</v>
      </c>
      <c r="R42" s="15">
        <f t="shared" si="27"/>
        <v>1745229.4680290793</v>
      </c>
    </row>
    <row r="43" spans="1:18" ht="15" customHeight="1" x14ac:dyDescent="0.25">
      <c r="A43" s="16">
        <v>40</v>
      </c>
      <c r="B43" s="21">
        <f>Raw_Data!B42</f>
        <v>-44.515244000000003</v>
      </c>
      <c r="C43" s="21">
        <f>Raw_Data!C42</f>
        <v>25.700887999999999</v>
      </c>
      <c r="D43" s="17">
        <f>1</f>
        <v>1</v>
      </c>
      <c r="E43" s="17">
        <f t="shared" si="14"/>
        <v>-44.515244000000003</v>
      </c>
      <c r="F43" s="17">
        <f t="shared" si="15"/>
        <v>25.700887999999999</v>
      </c>
      <c r="G43" s="17">
        <f t="shared" si="16"/>
        <v>1981.6069483795363</v>
      </c>
      <c r="H43" s="17">
        <f t="shared" si="17"/>
        <v>-1144.081300336672</v>
      </c>
      <c r="I43" s="17">
        <f t="shared" si="18"/>
        <v>660.53564398854394</v>
      </c>
      <c r="J43" s="17">
        <f t="shared" si="19"/>
        <v>-88211.716819210473</v>
      </c>
      <c r="K43" s="17">
        <f t="shared" si="20"/>
        <v>50929.058240324244</v>
      </c>
      <c r="L43" s="17">
        <f t="shared" si="21"/>
        <v>-29403.90536284717</v>
      </c>
      <c r="M43" s="17">
        <f t="shared" si="22"/>
        <v>16976.352606157441</v>
      </c>
      <c r="N43" s="17">
        <f t="shared" si="23"/>
        <v>3926766.0978660583</v>
      </c>
      <c r="O43" s="17">
        <f t="shared" si="24"/>
        <v>-2267119.4542582445</v>
      </c>
      <c r="P43" s="17">
        <f t="shared" si="25"/>
        <v>1308922.0217800504</v>
      </c>
      <c r="Q43" s="17">
        <f t="shared" si="26"/>
        <v>-755706.47849313449</v>
      </c>
      <c r="R43" s="17">
        <f t="shared" si="27"/>
        <v>436307.33697936044</v>
      </c>
    </row>
    <row r="44" spans="1:18" ht="15" customHeight="1" x14ac:dyDescent="0.25">
      <c r="A44" s="14">
        <v>41</v>
      </c>
      <c r="B44" s="21">
        <f>Raw_Data!B43</f>
        <v>-49.650303999999998</v>
      </c>
      <c r="C44" s="21">
        <f>Raw_Data!C43</f>
        <v>13.303758999999999</v>
      </c>
      <c r="D44" s="15">
        <f>1</f>
        <v>1</v>
      </c>
      <c r="E44" s="15">
        <f t="shared" si="14"/>
        <v>-49.650303999999998</v>
      </c>
      <c r="F44" s="15">
        <f t="shared" si="15"/>
        <v>13.303758999999999</v>
      </c>
      <c r="G44" s="15">
        <f t="shared" si="16"/>
        <v>2465.152687292416</v>
      </c>
      <c r="H44" s="15">
        <f t="shared" si="17"/>
        <v>-660.53567869273593</v>
      </c>
      <c r="I44" s="15">
        <f t="shared" si="18"/>
        <v>176.990003530081</v>
      </c>
      <c r="J44" s="15">
        <f t="shared" si="19"/>
        <v>-122395.58033048539</v>
      </c>
      <c r="K44" s="15">
        <f t="shared" si="20"/>
        <v>32795.797249940661</v>
      </c>
      <c r="L44" s="15">
        <f t="shared" si="21"/>
        <v>-8787.6074802295952</v>
      </c>
      <c r="M44" s="15">
        <f t="shared" si="22"/>
        <v>2354.6323523733467</v>
      </c>
      <c r="N44" s="15">
        <f t="shared" si="23"/>
        <v>6076977.7716650199</v>
      </c>
      <c r="O44" s="15">
        <f t="shared" si="24"/>
        <v>-1628321.303381918</v>
      </c>
      <c r="P44" s="15">
        <f t="shared" si="25"/>
        <v>436307.38282607339</v>
      </c>
      <c r="Q44" s="15">
        <f t="shared" si="26"/>
        <v>-116908.21210357179</v>
      </c>
      <c r="R44" s="15">
        <f t="shared" si="27"/>
        <v>31325.461349578083</v>
      </c>
    </row>
    <row r="45" spans="1:18" ht="15" customHeight="1" x14ac:dyDescent="0.25">
      <c r="A45" s="16">
        <v>42</v>
      </c>
      <c r="B45" s="21">
        <f>Raw_Data!B44</f>
        <v>-51.401777000000003</v>
      </c>
      <c r="C45" s="21">
        <f>Raw_Data!C44</f>
        <v>0</v>
      </c>
      <c r="D45" s="17">
        <f>1</f>
        <v>1</v>
      </c>
      <c r="E45" s="17">
        <f t="shared" si="14"/>
        <v>-51.401777000000003</v>
      </c>
      <c r="F45" s="17">
        <f t="shared" si="15"/>
        <v>0</v>
      </c>
      <c r="G45" s="17">
        <f t="shared" si="16"/>
        <v>2642.1426787577293</v>
      </c>
      <c r="H45" s="17">
        <f t="shared" si="17"/>
        <v>0</v>
      </c>
      <c r="I45" s="17">
        <f t="shared" si="18"/>
        <v>0</v>
      </c>
      <c r="J45" s="17">
        <f t="shared" si="19"/>
        <v>-135810.82877568743</v>
      </c>
      <c r="K45" s="17">
        <f t="shared" si="20"/>
        <v>0</v>
      </c>
      <c r="L45" s="17">
        <f t="shared" si="21"/>
        <v>0</v>
      </c>
      <c r="M45" s="17">
        <f t="shared" si="22"/>
        <v>0</v>
      </c>
      <c r="N45" s="17">
        <f t="shared" si="23"/>
        <v>6980917.9349130699</v>
      </c>
      <c r="O45" s="17">
        <f t="shared" si="24"/>
        <v>0</v>
      </c>
      <c r="P45" s="17">
        <f t="shared" si="25"/>
        <v>0</v>
      </c>
      <c r="Q45" s="17">
        <f t="shared" si="26"/>
        <v>0</v>
      </c>
      <c r="R45" s="17">
        <f t="shared" si="27"/>
        <v>0</v>
      </c>
    </row>
    <row r="46" spans="1:18" ht="15" customHeight="1" x14ac:dyDescent="0.25">
      <c r="A46" s="14">
        <v>43</v>
      </c>
      <c r="B46" s="21">
        <f>Raw_Data!B45</f>
        <v>0</v>
      </c>
      <c r="C46" s="21">
        <f>Raw_Data!C45</f>
        <v>61.682132000000003</v>
      </c>
      <c r="D46" s="15">
        <f>1</f>
        <v>1</v>
      </c>
      <c r="E46" s="15">
        <f t="shared" si="14"/>
        <v>0</v>
      </c>
      <c r="F46" s="15">
        <f t="shared" si="15"/>
        <v>61.682132000000003</v>
      </c>
      <c r="G46" s="15">
        <f t="shared" si="16"/>
        <v>0</v>
      </c>
      <c r="H46" s="15">
        <f t="shared" si="17"/>
        <v>0</v>
      </c>
      <c r="I46" s="15">
        <f t="shared" si="18"/>
        <v>3804.6854080654243</v>
      </c>
      <c r="J46" s="15">
        <f t="shared" si="19"/>
        <v>0</v>
      </c>
      <c r="K46" s="15">
        <f t="shared" si="20"/>
        <v>0</v>
      </c>
      <c r="L46" s="15">
        <f t="shared" si="21"/>
        <v>0</v>
      </c>
      <c r="M46" s="15">
        <f t="shared" si="22"/>
        <v>234681.10755876539</v>
      </c>
      <c r="N46" s="15">
        <f t="shared" si="23"/>
        <v>0</v>
      </c>
      <c r="O46" s="15">
        <f t="shared" si="24"/>
        <v>0</v>
      </c>
      <c r="P46" s="15">
        <f t="shared" si="25"/>
        <v>0</v>
      </c>
      <c r="Q46" s="15">
        <f t="shared" si="26"/>
        <v>0</v>
      </c>
      <c r="R46" s="15">
        <f t="shared" si="27"/>
        <v>14475631.054345964</v>
      </c>
    </row>
    <row r="47" spans="1:18" ht="15" customHeight="1" x14ac:dyDescent="0.25">
      <c r="A47" s="16">
        <v>44</v>
      </c>
      <c r="B47" s="21">
        <f>Raw_Data!B46</f>
        <v>-15.964511</v>
      </c>
      <c r="C47" s="21">
        <f>Raw_Data!C46</f>
        <v>59.580364000000003</v>
      </c>
      <c r="D47" s="17">
        <f>1</f>
        <v>1</v>
      </c>
      <c r="E47" s="17">
        <f t="shared" si="14"/>
        <v>-15.964511</v>
      </c>
      <c r="F47" s="17">
        <f t="shared" si="15"/>
        <v>59.580364000000003</v>
      </c>
      <c r="G47" s="17">
        <f t="shared" si="16"/>
        <v>254.86561146912101</v>
      </c>
      <c r="H47" s="17">
        <f t="shared" si="17"/>
        <v>-951.17137646200399</v>
      </c>
      <c r="I47" s="17">
        <f t="shared" si="18"/>
        <v>3549.8197743724963</v>
      </c>
      <c r="J47" s="17">
        <f t="shared" si="19"/>
        <v>-4068.8048578205085</v>
      </c>
      <c r="K47" s="17">
        <f t="shared" si="20"/>
        <v>15184.985902412805</v>
      </c>
      <c r="L47" s="17">
        <f t="shared" si="21"/>
        <v>-56671.136835987236</v>
      </c>
      <c r="M47" s="17">
        <f t="shared" si="22"/>
        <v>211499.55429151122</v>
      </c>
      <c r="N47" s="17">
        <f t="shared" si="23"/>
        <v>64956.479909528942</v>
      </c>
      <c r="O47" s="17">
        <f t="shared" si="24"/>
        <v>-242420.87447391415</v>
      </c>
      <c r="P47" s="17">
        <f t="shared" si="25"/>
        <v>904726.9874006235</v>
      </c>
      <c r="Q47" s="17">
        <f t="shared" si="26"/>
        <v>-3376486.9609819278</v>
      </c>
      <c r="R47" s="17">
        <f t="shared" si="27"/>
        <v>12601220.430526001</v>
      </c>
    </row>
    <row r="48" spans="1:18" ht="15" customHeight="1" x14ac:dyDescent="0.25">
      <c r="A48" s="14">
        <v>45</v>
      </c>
      <c r="B48" s="21">
        <f>Raw_Data!B47</f>
        <v>-30.841066000000001</v>
      </c>
      <c r="C48" s="21">
        <f>Raw_Data!C47</f>
        <v>53.418292999999998</v>
      </c>
      <c r="D48" s="15">
        <f>1</f>
        <v>1</v>
      </c>
      <c r="E48" s="15">
        <f t="shared" si="14"/>
        <v>-30.841066000000001</v>
      </c>
      <c r="F48" s="15">
        <f t="shared" si="15"/>
        <v>53.418292999999998</v>
      </c>
      <c r="G48" s="15">
        <f t="shared" si="16"/>
        <v>951.17135201635608</v>
      </c>
      <c r="H48" s="15">
        <f t="shared" si="17"/>
        <v>-1647.477100020338</v>
      </c>
      <c r="I48" s="15">
        <f t="shared" si="18"/>
        <v>2853.5140270338488</v>
      </c>
      <c r="J48" s="15">
        <f t="shared" si="19"/>
        <v>-29335.138444845674</v>
      </c>
      <c r="K48" s="15">
        <f t="shared" si="20"/>
        <v>50809.949975215852</v>
      </c>
      <c r="L48" s="15">
        <f t="shared" si="21"/>
        <v>-88005.414439676722</v>
      </c>
      <c r="M48" s="15">
        <f t="shared" si="22"/>
        <v>152429.84837570405</v>
      </c>
      <c r="N48" s="15">
        <f t="shared" si="23"/>
        <v>904726.94089662272</v>
      </c>
      <c r="O48" s="15">
        <f t="shared" si="24"/>
        <v>-1567033.0206423304</v>
      </c>
      <c r="P48" s="15">
        <f t="shared" si="25"/>
        <v>2714180.7950914227</v>
      </c>
      <c r="Q48" s="15">
        <f t="shared" si="26"/>
        <v>-4701099.0141250817</v>
      </c>
      <c r="R48" s="15">
        <f t="shared" si="27"/>
        <v>8142542.3024789328</v>
      </c>
    </row>
    <row r="49" spans="1:18" ht="15" customHeight="1" x14ac:dyDescent="0.25">
      <c r="A49" s="16">
        <v>46</v>
      </c>
      <c r="B49" s="21">
        <f>Raw_Data!B48</f>
        <v>-43.615853999999999</v>
      </c>
      <c r="C49" s="21">
        <f>Raw_Data!C48</f>
        <v>43.615853999999999</v>
      </c>
      <c r="D49" s="17">
        <f>1</f>
        <v>1</v>
      </c>
      <c r="E49" s="17">
        <f t="shared" si="14"/>
        <v>-43.615853999999999</v>
      </c>
      <c r="F49" s="17">
        <f t="shared" si="15"/>
        <v>43.615853999999999</v>
      </c>
      <c r="G49" s="17">
        <f t="shared" si="16"/>
        <v>1902.3427201493159</v>
      </c>
      <c r="H49" s="17">
        <f t="shared" si="17"/>
        <v>-1902.3427201493159</v>
      </c>
      <c r="I49" s="17">
        <f t="shared" si="18"/>
        <v>1902.3427201493159</v>
      </c>
      <c r="J49" s="17">
        <f t="shared" si="19"/>
        <v>-82972.302339995425</v>
      </c>
      <c r="K49" s="17">
        <f t="shared" si="20"/>
        <v>82972.302339995425</v>
      </c>
      <c r="L49" s="17">
        <f t="shared" si="21"/>
        <v>-82972.302339995425</v>
      </c>
      <c r="M49" s="17">
        <f t="shared" si="22"/>
        <v>82972.302339995425</v>
      </c>
      <c r="N49" s="17">
        <f t="shared" si="23"/>
        <v>3618907.8249050984</v>
      </c>
      <c r="O49" s="17">
        <f t="shared" si="24"/>
        <v>-3618907.8249050989</v>
      </c>
      <c r="P49" s="17">
        <f t="shared" si="25"/>
        <v>3618907.8249050984</v>
      </c>
      <c r="Q49" s="17">
        <f t="shared" si="26"/>
        <v>-3618907.8249050989</v>
      </c>
      <c r="R49" s="17">
        <f t="shared" si="27"/>
        <v>3618907.8249050984</v>
      </c>
    </row>
    <row r="50" spans="1:18" ht="15" customHeight="1" x14ac:dyDescent="0.25">
      <c r="A50" s="14">
        <v>47</v>
      </c>
      <c r="B50" s="21">
        <f>Raw_Data!B49</f>
        <v>-53.418292999999998</v>
      </c>
      <c r="C50" s="21">
        <f>Raw_Data!C49</f>
        <v>30.841066000000001</v>
      </c>
      <c r="D50" s="15">
        <f>1</f>
        <v>1</v>
      </c>
      <c r="E50" s="15">
        <f t="shared" si="14"/>
        <v>-53.418292999999998</v>
      </c>
      <c r="F50" s="15">
        <f t="shared" si="15"/>
        <v>30.841066000000001</v>
      </c>
      <c r="G50" s="15">
        <f t="shared" si="16"/>
        <v>2853.5140270338488</v>
      </c>
      <c r="H50" s="15">
        <f t="shared" si="17"/>
        <v>-1647.477100020338</v>
      </c>
      <c r="I50" s="15">
        <f t="shared" si="18"/>
        <v>951.17135201635608</v>
      </c>
      <c r="J50" s="15">
        <f t="shared" si="19"/>
        <v>-152429.84837570405</v>
      </c>
      <c r="K50" s="15">
        <f t="shared" si="20"/>
        <v>88005.414439676722</v>
      </c>
      <c r="L50" s="15">
        <f t="shared" si="21"/>
        <v>-50809.949975215852</v>
      </c>
      <c r="M50" s="15">
        <f t="shared" si="22"/>
        <v>29335.138444845674</v>
      </c>
      <c r="N50" s="15">
        <f t="shared" si="23"/>
        <v>8142542.3024789328</v>
      </c>
      <c r="O50" s="15">
        <f t="shared" si="24"/>
        <v>-4701099.0141250817</v>
      </c>
      <c r="P50" s="15">
        <f t="shared" si="25"/>
        <v>2714180.7950914227</v>
      </c>
      <c r="Q50" s="15">
        <f t="shared" si="26"/>
        <v>-1567033.0206423304</v>
      </c>
      <c r="R50" s="15">
        <f t="shared" si="27"/>
        <v>904726.94089662272</v>
      </c>
    </row>
    <row r="51" spans="1:18" ht="15" customHeight="1" x14ac:dyDescent="0.25">
      <c r="A51" s="16">
        <v>48</v>
      </c>
      <c r="B51" s="21">
        <f>Raw_Data!B50</f>
        <v>-59.580364000000003</v>
      </c>
      <c r="C51" s="21">
        <f>Raw_Data!C50</f>
        <v>15.964511</v>
      </c>
      <c r="D51" s="17">
        <f>1</f>
        <v>1</v>
      </c>
      <c r="E51" s="17">
        <f t="shared" si="14"/>
        <v>-59.580364000000003</v>
      </c>
      <c r="F51" s="17">
        <f t="shared" si="15"/>
        <v>15.964511</v>
      </c>
      <c r="G51" s="17">
        <f t="shared" si="16"/>
        <v>3549.8197743724963</v>
      </c>
      <c r="H51" s="17">
        <f t="shared" si="17"/>
        <v>-951.17137646200399</v>
      </c>
      <c r="I51" s="17">
        <f t="shared" si="18"/>
        <v>254.86561146912101</v>
      </c>
      <c r="J51" s="17">
        <f t="shared" si="19"/>
        <v>-211499.55429151122</v>
      </c>
      <c r="K51" s="17">
        <f t="shared" si="20"/>
        <v>56671.136835987236</v>
      </c>
      <c r="L51" s="17">
        <f t="shared" si="21"/>
        <v>-15184.985902412805</v>
      </c>
      <c r="M51" s="17">
        <f t="shared" si="22"/>
        <v>4068.8048578205085</v>
      </c>
      <c r="N51" s="17">
        <f t="shared" si="23"/>
        <v>12601220.430526001</v>
      </c>
      <c r="O51" s="17">
        <f t="shared" si="24"/>
        <v>-3376486.9609819278</v>
      </c>
      <c r="P51" s="17">
        <f t="shared" si="25"/>
        <v>904726.9874006235</v>
      </c>
      <c r="Q51" s="17">
        <f t="shared" si="26"/>
        <v>-242420.87447391415</v>
      </c>
      <c r="R51" s="17">
        <f t="shared" si="27"/>
        <v>64956.479909528942</v>
      </c>
    </row>
    <row r="52" spans="1:18" ht="15" customHeight="1" x14ac:dyDescent="0.25">
      <c r="A52" s="14">
        <v>49</v>
      </c>
      <c r="B52" s="21">
        <f>Raw_Data!B51</f>
        <v>-61.682132000000003</v>
      </c>
      <c r="C52" s="21">
        <f>Raw_Data!C51</f>
        <v>0</v>
      </c>
      <c r="D52" s="15">
        <f>1</f>
        <v>1</v>
      </c>
      <c r="E52" s="15">
        <f t="shared" si="14"/>
        <v>-61.682132000000003</v>
      </c>
      <c r="F52" s="15">
        <f t="shared" si="15"/>
        <v>0</v>
      </c>
      <c r="G52" s="15">
        <f t="shared" si="16"/>
        <v>3804.6854080654243</v>
      </c>
      <c r="H52" s="15">
        <f t="shared" si="17"/>
        <v>0</v>
      </c>
      <c r="I52" s="15">
        <f t="shared" si="18"/>
        <v>0</v>
      </c>
      <c r="J52" s="15">
        <f t="shared" si="19"/>
        <v>-234681.10755876539</v>
      </c>
      <c r="K52" s="15">
        <f t="shared" si="20"/>
        <v>0</v>
      </c>
      <c r="L52" s="15">
        <f t="shared" si="21"/>
        <v>0</v>
      </c>
      <c r="M52" s="15">
        <f t="shared" si="22"/>
        <v>0</v>
      </c>
      <c r="N52" s="15">
        <f t="shared" si="23"/>
        <v>14475631.054345964</v>
      </c>
      <c r="O52" s="15">
        <f t="shared" si="24"/>
        <v>0</v>
      </c>
      <c r="P52" s="15">
        <f t="shared" si="25"/>
        <v>0</v>
      </c>
      <c r="Q52" s="15">
        <f t="shared" si="26"/>
        <v>0</v>
      </c>
      <c r="R52" s="15">
        <f t="shared" si="27"/>
        <v>0</v>
      </c>
    </row>
    <row r="53" spans="1:18" ht="15" customHeight="1" x14ac:dyDescent="0.25">
      <c r="A53" s="16">
        <v>50</v>
      </c>
      <c r="B53" s="21">
        <f>Raw_Data!B52</f>
        <v>0</v>
      </c>
      <c r="C53" s="21">
        <f>Raw_Data!C52</f>
        <v>71.962486999999996</v>
      </c>
      <c r="D53" s="17">
        <f>1</f>
        <v>1</v>
      </c>
      <c r="E53" s="17">
        <f t="shared" si="14"/>
        <v>0</v>
      </c>
      <c r="F53" s="17">
        <f t="shared" si="15"/>
        <v>71.962486999999996</v>
      </c>
      <c r="G53" s="17">
        <f t="shared" si="16"/>
        <v>0</v>
      </c>
      <c r="H53" s="17">
        <f t="shared" si="17"/>
        <v>0</v>
      </c>
      <c r="I53" s="17">
        <f t="shared" si="18"/>
        <v>5178.5995352251684</v>
      </c>
      <c r="J53" s="17">
        <f t="shared" si="19"/>
        <v>0</v>
      </c>
      <c r="K53" s="17">
        <f t="shared" si="20"/>
        <v>0</v>
      </c>
      <c r="L53" s="17">
        <f t="shared" si="21"/>
        <v>0</v>
      </c>
      <c r="M53" s="17">
        <f t="shared" si="22"/>
        <v>372664.9017318472</v>
      </c>
      <c r="N53" s="17">
        <f t="shared" si="23"/>
        <v>0</v>
      </c>
      <c r="O53" s="17">
        <f t="shared" si="24"/>
        <v>0</v>
      </c>
      <c r="P53" s="17">
        <f t="shared" si="25"/>
        <v>0</v>
      </c>
      <c r="Q53" s="17">
        <f t="shared" si="26"/>
        <v>0</v>
      </c>
      <c r="R53" s="17">
        <f t="shared" si="27"/>
        <v>26817893.14623433</v>
      </c>
    </row>
    <row r="54" spans="1:18" ht="15" customHeight="1" x14ac:dyDescent="0.25">
      <c r="A54" s="14">
        <v>51</v>
      </c>
      <c r="B54" s="21">
        <f>Raw_Data!B53</f>
        <v>-18.625261999999999</v>
      </c>
      <c r="C54" s="21">
        <f>Raw_Data!C53</f>
        <v>69.510424999999998</v>
      </c>
      <c r="D54" s="15">
        <f>1</f>
        <v>1</v>
      </c>
      <c r="E54" s="15">
        <f t="shared" si="14"/>
        <v>-18.625261999999999</v>
      </c>
      <c r="F54" s="15">
        <f t="shared" si="15"/>
        <v>69.510424999999998</v>
      </c>
      <c r="G54" s="15">
        <f t="shared" si="16"/>
        <v>346.90038456864397</v>
      </c>
      <c r="H54" s="15">
        <f t="shared" si="17"/>
        <v>-1294.6498773563499</v>
      </c>
      <c r="I54" s="15">
        <f t="shared" si="18"/>
        <v>4831.6991836806246</v>
      </c>
      <c r="J54" s="15">
        <f t="shared" si="19"/>
        <v>-6461.1105504917505</v>
      </c>
      <c r="K54" s="15">
        <f t="shared" si="20"/>
        <v>24113.193164029883</v>
      </c>
      <c r="L54" s="15">
        <f t="shared" si="21"/>
        <v>-89991.663201237752</v>
      </c>
      <c r="M54" s="15">
        <f t="shared" si="22"/>
        <v>335853.46372979326</v>
      </c>
      <c r="N54" s="15">
        <f t="shared" si="23"/>
        <v>120339.87681387308</v>
      </c>
      <c r="O54" s="15">
        <f t="shared" si="24"/>
        <v>-449114.54033666552</v>
      </c>
      <c r="P54" s="15">
        <f t="shared" si="25"/>
        <v>1676118.3049388118</v>
      </c>
      <c r="Q54" s="15">
        <f t="shared" si="26"/>
        <v>-6255358.7555748969</v>
      </c>
      <c r="R54" s="15">
        <f t="shared" si="27"/>
        <v>23345317.001580015</v>
      </c>
    </row>
    <row r="55" spans="1:18" ht="15" customHeight="1" x14ac:dyDescent="0.25">
      <c r="A55" s="16">
        <v>52</v>
      </c>
      <c r="B55" s="21">
        <f>Raw_Data!B54</f>
        <v>-35.981243999999997</v>
      </c>
      <c r="C55" s="21">
        <f>Raw_Data!C54</f>
        <v>62.321342000000001</v>
      </c>
      <c r="D55" s="17">
        <f>1</f>
        <v>1</v>
      </c>
      <c r="E55" s="17">
        <f t="shared" si="14"/>
        <v>-35.981243999999997</v>
      </c>
      <c r="F55" s="17">
        <f t="shared" si="15"/>
        <v>62.321342000000001</v>
      </c>
      <c r="G55" s="17">
        <f t="shared" si="16"/>
        <v>1294.6499197875357</v>
      </c>
      <c r="H55" s="17">
        <f t="shared" si="17"/>
        <v>-2242.3994129094476</v>
      </c>
      <c r="I55" s="17">
        <f t="shared" si="18"/>
        <v>3883.9496686809644</v>
      </c>
      <c r="J55" s="17">
        <f t="shared" si="19"/>
        <v>-46583.11465845575</v>
      </c>
      <c r="K55" s="17">
        <f t="shared" si="20"/>
        <v>80684.320421351586</v>
      </c>
      <c r="L55" s="17">
        <f t="shared" si="21"/>
        <v>-139749.34071252894</v>
      </c>
      <c r="M55" s="17">
        <f t="shared" si="22"/>
        <v>242052.95561265308</v>
      </c>
      <c r="N55" s="17">
        <f t="shared" si="23"/>
        <v>1676118.4148058728</v>
      </c>
      <c r="O55" s="17">
        <f t="shared" si="24"/>
        <v>-2903122.2200548341</v>
      </c>
      <c r="P55" s="17">
        <f t="shared" si="25"/>
        <v>5028355.1270166365</v>
      </c>
      <c r="Q55" s="17">
        <f t="shared" si="26"/>
        <v>-8709366.4568200391</v>
      </c>
      <c r="R55" s="17">
        <f t="shared" si="27"/>
        <v>15085065.028846974</v>
      </c>
    </row>
    <row r="56" spans="1:18" ht="15" customHeight="1" x14ac:dyDescent="0.25">
      <c r="A56" s="14">
        <v>53</v>
      </c>
      <c r="B56" s="21">
        <f>Raw_Data!B55</f>
        <v>-50.885162999999999</v>
      </c>
      <c r="C56" s="21">
        <f>Raw_Data!C55</f>
        <v>50.885162999999999</v>
      </c>
      <c r="D56" s="15">
        <f>1</f>
        <v>1</v>
      </c>
      <c r="E56" s="15">
        <f t="shared" si="14"/>
        <v>-50.885162999999999</v>
      </c>
      <c r="F56" s="15">
        <f t="shared" si="15"/>
        <v>50.885162999999999</v>
      </c>
      <c r="G56" s="15">
        <f t="shared" si="16"/>
        <v>2589.2998135365688</v>
      </c>
      <c r="H56" s="15">
        <f t="shared" si="17"/>
        <v>-2589.2998135365688</v>
      </c>
      <c r="I56" s="15">
        <f t="shared" si="18"/>
        <v>2589.2998135365688</v>
      </c>
      <c r="J56" s="15">
        <f t="shared" si="19"/>
        <v>-131756.9430676779</v>
      </c>
      <c r="K56" s="15">
        <f t="shared" si="20"/>
        <v>131756.9430676779</v>
      </c>
      <c r="L56" s="15">
        <f t="shared" si="21"/>
        <v>-131756.9430676779</v>
      </c>
      <c r="M56" s="15">
        <f t="shared" si="22"/>
        <v>131756.9430676779</v>
      </c>
      <c r="N56" s="15">
        <f t="shared" si="23"/>
        <v>6704473.5243805097</v>
      </c>
      <c r="O56" s="15">
        <f t="shared" si="24"/>
        <v>-6704473.5243805097</v>
      </c>
      <c r="P56" s="15">
        <f t="shared" si="25"/>
        <v>6704473.5243805097</v>
      </c>
      <c r="Q56" s="15">
        <f t="shared" si="26"/>
        <v>-6704473.5243805097</v>
      </c>
      <c r="R56" s="15">
        <f t="shared" si="27"/>
        <v>6704473.5243805097</v>
      </c>
    </row>
    <row r="57" spans="1:18" ht="15" customHeight="1" x14ac:dyDescent="0.25">
      <c r="A57" s="16">
        <v>54</v>
      </c>
      <c r="B57" s="21">
        <f>Raw_Data!B56</f>
        <v>-62.321342000000001</v>
      </c>
      <c r="C57" s="21">
        <f>Raw_Data!C56</f>
        <v>35.981243999999997</v>
      </c>
      <c r="D57" s="17">
        <f>1</f>
        <v>1</v>
      </c>
      <c r="E57" s="17">
        <f t="shared" si="14"/>
        <v>-62.321342000000001</v>
      </c>
      <c r="F57" s="17">
        <f t="shared" si="15"/>
        <v>35.981243999999997</v>
      </c>
      <c r="G57" s="17">
        <f t="shared" si="16"/>
        <v>3883.9496686809644</v>
      </c>
      <c r="H57" s="17">
        <f t="shared" si="17"/>
        <v>-2242.3994129094476</v>
      </c>
      <c r="I57" s="17">
        <f t="shared" si="18"/>
        <v>1294.6499197875357</v>
      </c>
      <c r="J57" s="17">
        <f t="shared" si="19"/>
        <v>-242052.95561265308</v>
      </c>
      <c r="K57" s="17">
        <f t="shared" si="20"/>
        <v>139749.34071252894</v>
      </c>
      <c r="L57" s="17">
        <f t="shared" si="21"/>
        <v>-80684.320421351586</v>
      </c>
      <c r="M57" s="17">
        <f t="shared" si="22"/>
        <v>46583.11465845575</v>
      </c>
      <c r="N57" s="17">
        <f t="shared" si="23"/>
        <v>15085065.028846974</v>
      </c>
      <c r="O57" s="17">
        <f t="shared" si="24"/>
        <v>-8709366.4568200391</v>
      </c>
      <c r="P57" s="17">
        <f t="shared" si="25"/>
        <v>5028355.1270166365</v>
      </c>
      <c r="Q57" s="17">
        <f t="shared" si="26"/>
        <v>-2903122.2200548341</v>
      </c>
      <c r="R57" s="17">
        <f t="shared" si="27"/>
        <v>1676118.4148058728</v>
      </c>
    </row>
    <row r="58" spans="1:18" ht="15" customHeight="1" x14ac:dyDescent="0.25">
      <c r="A58" s="14">
        <v>55</v>
      </c>
      <c r="B58" s="21">
        <f>Raw_Data!B57</f>
        <v>-69.510424999999998</v>
      </c>
      <c r="C58" s="21">
        <f>Raw_Data!C57</f>
        <v>18.625261999999999</v>
      </c>
      <c r="D58" s="15">
        <f>1</f>
        <v>1</v>
      </c>
      <c r="E58" s="15">
        <f t="shared" si="14"/>
        <v>-69.510424999999998</v>
      </c>
      <c r="F58" s="15">
        <f t="shared" si="15"/>
        <v>18.625261999999999</v>
      </c>
      <c r="G58" s="15">
        <f t="shared" si="16"/>
        <v>4831.6991836806246</v>
      </c>
      <c r="H58" s="15">
        <f t="shared" si="17"/>
        <v>-1294.6498773563499</v>
      </c>
      <c r="I58" s="15">
        <f t="shared" si="18"/>
        <v>346.90038456864397</v>
      </c>
      <c r="J58" s="15">
        <f t="shared" si="19"/>
        <v>-335853.46372979326</v>
      </c>
      <c r="K58" s="15">
        <f t="shared" si="20"/>
        <v>89991.663201237752</v>
      </c>
      <c r="L58" s="15">
        <f t="shared" si="21"/>
        <v>-24113.193164029883</v>
      </c>
      <c r="M58" s="15">
        <f t="shared" si="22"/>
        <v>6461.1105504917505</v>
      </c>
      <c r="N58" s="15">
        <f t="shared" si="23"/>
        <v>23345317.001580015</v>
      </c>
      <c r="O58" s="15">
        <f t="shared" si="24"/>
        <v>-6255358.7555748969</v>
      </c>
      <c r="P58" s="15">
        <f t="shared" si="25"/>
        <v>1676118.3049388118</v>
      </c>
      <c r="Q58" s="15">
        <f t="shared" si="26"/>
        <v>-449114.54033666552</v>
      </c>
      <c r="R58" s="15">
        <f t="shared" si="27"/>
        <v>120339.87681387308</v>
      </c>
    </row>
    <row r="59" spans="1:18" ht="15" customHeight="1" x14ac:dyDescent="0.25">
      <c r="A59" s="16">
        <v>56</v>
      </c>
      <c r="B59" s="21">
        <f>Raw_Data!B58</f>
        <v>-71.962486999999996</v>
      </c>
      <c r="C59" s="21">
        <f>Raw_Data!C58</f>
        <v>0</v>
      </c>
      <c r="D59" s="17">
        <f>1</f>
        <v>1</v>
      </c>
      <c r="E59" s="17">
        <f t="shared" si="14"/>
        <v>-71.962486999999996</v>
      </c>
      <c r="F59" s="17">
        <f t="shared" si="15"/>
        <v>0</v>
      </c>
      <c r="G59" s="17">
        <f t="shared" si="16"/>
        <v>5178.5995352251684</v>
      </c>
      <c r="H59" s="17">
        <f t="shared" si="17"/>
        <v>0</v>
      </c>
      <c r="I59" s="17">
        <f t="shared" si="18"/>
        <v>0</v>
      </c>
      <c r="J59" s="17">
        <f t="shared" si="19"/>
        <v>-372664.9017318472</v>
      </c>
      <c r="K59" s="17">
        <f t="shared" si="20"/>
        <v>0</v>
      </c>
      <c r="L59" s="17">
        <f t="shared" si="21"/>
        <v>0</v>
      </c>
      <c r="M59" s="17">
        <f t="shared" si="22"/>
        <v>0</v>
      </c>
      <c r="N59" s="17">
        <f t="shared" si="23"/>
        <v>26817893.14623433</v>
      </c>
      <c r="O59" s="17">
        <f t="shared" si="24"/>
        <v>0</v>
      </c>
      <c r="P59" s="17">
        <f t="shared" si="25"/>
        <v>0</v>
      </c>
      <c r="Q59" s="17">
        <f t="shared" si="26"/>
        <v>0</v>
      </c>
      <c r="R59" s="17">
        <f t="shared" si="27"/>
        <v>0</v>
      </c>
    </row>
    <row r="60" spans="1:18" ht="15" customHeight="1" x14ac:dyDescent="0.25">
      <c r="A60" s="14">
        <v>57</v>
      </c>
      <c r="B60" s="21">
        <f>Raw_Data!B59</f>
        <v>0</v>
      </c>
      <c r="C60" s="21">
        <f>Raw_Data!C59</f>
        <v>82.242842999999993</v>
      </c>
      <c r="D60" s="15">
        <f>1</f>
        <v>1</v>
      </c>
      <c r="E60" s="15">
        <f t="shared" si="14"/>
        <v>0</v>
      </c>
      <c r="F60" s="15">
        <f t="shared" si="15"/>
        <v>82.242842999999993</v>
      </c>
      <c r="G60" s="15">
        <f t="shared" si="16"/>
        <v>0</v>
      </c>
      <c r="H60" s="15">
        <f t="shared" si="17"/>
        <v>0</v>
      </c>
      <c r="I60" s="15">
        <f t="shared" si="18"/>
        <v>6763.8852247226478</v>
      </c>
      <c r="J60" s="15">
        <f t="shared" si="19"/>
        <v>0</v>
      </c>
      <c r="K60" s="15">
        <f t="shared" si="20"/>
        <v>0</v>
      </c>
      <c r="L60" s="15">
        <f t="shared" si="21"/>
        <v>0</v>
      </c>
      <c r="M60" s="15">
        <f t="shared" si="22"/>
        <v>556281.15060688439</v>
      </c>
      <c r="N60" s="15">
        <f t="shared" si="23"/>
        <v>0</v>
      </c>
      <c r="O60" s="15">
        <f t="shared" si="24"/>
        <v>0</v>
      </c>
      <c r="P60" s="15">
        <f t="shared" si="25"/>
        <v>0</v>
      </c>
      <c r="Q60" s="15">
        <f t="shared" si="26"/>
        <v>0</v>
      </c>
      <c r="R60" s="15">
        <f t="shared" si="27"/>
        <v>45750143.333221346</v>
      </c>
    </row>
    <row r="61" spans="1:18" ht="15" customHeight="1" x14ac:dyDescent="0.25">
      <c r="A61" s="16">
        <v>58</v>
      </c>
      <c r="B61" s="21">
        <f>Raw_Data!B60</f>
        <v>-21.286014000000002</v>
      </c>
      <c r="C61" s="21">
        <f>Raw_Data!C60</f>
        <v>79.440486000000007</v>
      </c>
      <c r="D61" s="17">
        <f>1</f>
        <v>1</v>
      </c>
      <c r="E61" s="17">
        <f t="shared" si="14"/>
        <v>-21.286014000000002</v>
      </c>
      <c r="F61" s="17">
        <f t="shared" si="15"/>
        <v>79.440486000000007</v>
      </c>
      <c r="G61" s="17">
        <f t="shared" si="16"/>
        <v>453.09439200819605</v>
      </c>
      <c r="H61" s="17">
        <f t="shared" si="17"/>
        <v>-1690.9712971628044</v>
      </c>
      <c r="I61" s="17">
        <f t="shared" si="18"/>
        <v>6310.7908159161971</v>
      </c>
      <c r="J61" s="17">
        <f t="shared" si="19"/>
        <v>-9644.5735716079507</v>
      </c>
      <c r="K61" s="17">
        <f t="shared" si="20"/>
        <v>35994.038705005616</v>
      </c>
      <c r="L61" s="17">
        <f t="shared" si="21"/>
        <v>-134331.58165866361</v>
      </c>
      <c r="M61" s="17">
        <f t="shared" si="22"/>
        <v>501332.28946071927</v>
      </c>
      <c r="N61" s="17">
        <f t="shared" si="23"/>
        <v>205294.52806927683</v>
      </c>
      <c r="O61" s="17">
        <f t="shared" si="24"/>
        <v>-766169.61179129151</v>
      </c>
      <c r="P61" s="17">
        <f t="shared" si="25"/>
        <v>2859383.9278284567</v>
      </c>
      <c r="Q61" s="17">
        <f t="shared" si="26"/>
        <v>-10671366.132112924</v>
      </c>
      <c r="R61" s="17">
        <f t="shared" si="27"/>
        <v>39826080.72225222</v>
      </c>
    </row>
    <row r="62" spans="1:18" ht="15" customHeight="1" x14ac:dyDescent="0.25">
      <c r="A62" s="14">
        <v>59</v>
      </c>
      <c r="B62" s="21">
        <f>Raw_Data!B61</f>
        <v>-41.121420999999998</v>
      </c>
      <c r="C62" s="21">
        <f>Raw_Data!C61</f>
        <v>71.224390999999997</v>
      </c>
      <c r="D62" s="15">
        <f>1</f>
        <v>1</v>
      </c>
      <c r="E62" s="15">
        <f t="shared" si="14"/>
        <v>-41.121420999999998</v>
      </c>
      <c r="F62" s="15">
        <f t="shared" si="15"/>
        <v>71.224390999999997</v>
      </c>
      <c r="G62" s="15">
        <f t="shared" si="16"/>
        <v>1690.9712650592407</v>
      </c>
      <c r="H62" s="15">
        <f t="shared" si="17"/>
        <v>-2928.8481677796108</v>
      </c>
      <c r="I62" s="15">
        <f t="shared" si="18"/>
        <v>5072.9138733208802</v>
      </c>
      <c r="J62" s="15">
        <f t="shared" si="19"/>
        <v>-69535.141289403618</v>
      </c>
      <c r="K62" s="15">
        <f t="shared" si="20"/>
        <v>120438.39855234399</v>
      </c>
      <c r="L62" s="15">
        <f t="shared" si="21"/>
        <v>-208605.42708156857</v>
      </c>
      <c r="M62" s="15">
        <f t="shared" si="22"/>
        <v>361315.2012227308</v>
      </c>
      <c r="N62" s="15">
        <f t="shared" si="23"/>
        <v>2859383.8192560491</v>
      </c>
      <c r="O62" s="15">
        <f t="shared" si="24"/>
        <v>-4952598.091436727</v>
      </c>
      <c r="P62" s="15">
        <f t="shared" si="25"/>
        <v>8578151.589905981</v>
      </c>
      <c r="Q62" s="15">
        <f t="shared" si="26"/>
        <v>-14857794.503179627</v>
      </c>
      <c r="R62" s="15">
        <f t="shared" si="27"/>
        <v>25734455.166131455</v>
      </c>
    </row>
    <row r="63" spans="1:18" ht="15" customHeight="1" x14ac:dyDescent="0.25">
      <c r="A63" s="16">
        <v>60</v>
      </c>
      <c r="B63" s="21">
        <f>Raw_Data!B62</f>
        <v>-58.154471999999998</v>
      </c>
      <c r="C63" s="21">
        <f>Raw_Data!C62</f>
        <v>58.154471999999998</v>
      </c>
      <c r="D63" s="17">
        <f>1</f>
        <v>1</v>
      </c>
      <c r="E63" s="17">
        <f t="shared" si="14"/>
        <v>-58.154471999999998</v>
      </c>
      <c r="F63" s="17">
        <f t="shared" si="15"/>
        <v>58.154471999999998</v>
      </c>
      <c r="G63" s="17">
        <f t="shared" si="16"/>
        <v>3381.9426135987837</v>
      </c>
      <c r="H63" s="17">
        <f t="shared" si="17"/>
        <v>-3381.9426135987837</v>
      </c>
      <c r="I63" s="17">
        <f t="shared" si="18"/>
        <v>3381.9426135987837</v>
      </c>
      <c r="J63" s="17">
        <f t="shared" si="19"/>
        <v>-196675.08702813729</v>
      </c>
      <c r="K63" s="17">
        <f t="shared" si="20"/>
        <v>196675.08702813729</v>
      </c>
      <c r="L63" s="17">
        <f t="shared" si="21"/>
        <v>-196675.08702813729</v>
      </c>
      <c r="M63" s="17">
        <f t="shared" si="22"/>
        <v>196675.08702813729</v>
      </c>
      <c r="N63" s="17">
        <f t="shared" si="23"/>
        <v>11437535.841675373</v>
      </c>
      <c r="O63" s="17">
        <f t="shared" si="24"/>
        <v>-11437535.841675373</v>
      </c>
      <c r="P63" s="17">
        <f t="shared" si="25"/>
        <v>11437535.841675373</v>
      </c>
      <c r="Q63" s="17">
        <f t="shared" si="26"/>
        <v>-11437535.841675373</v>
      </c>
      <c r="R63" s="17">
        <f t="shared" si="27"/>
        <v>11437535.841675373</v>
      </c>
    </row>
    <row r="64" spans="1:18" ht="15" customHeight="1" x14ac:dyDescent="0.25">
      <c r="A64" s="14">
        <v>61</v>
      </c>
      <c r="B64" s="21">
        <f>Raw_Data!B63</f>
        <v>-71.224390999999997</v>
      </c>
      <c r="C64" s="21">
        <f>Raw_Data!C63</f>
        <v>41.121420999999998</v>
      </c>
      <c r="D64" s="15">
        <f>1</f>
        <v>1</v>
      </c>
      <c r="E64" s="15">
        <f t="shared" si="14"/>
        <v>-71.224390999999997</v>
      </c>
      <c r="F64" s="15">
        <f t="shared" si="15"/>
        <v>41.121420999999998</v>
      </c>
      <c r="G64" s="15">
        <f t="shared" si="16"/>
        <v>5072.9138733208802</v>
      </c>
      <c r="H64" s="15">
        <f t="shared" si="17"/>
        <v>-2928.8481677796108</v>
      </c>
      <c r="I64" s="15">
        <f t="shared" si="18"/>
        <v>1690.9712650592407</v>
      </c>
      <c r="J64" s="15">
        <f t="shared" si="19"/>
        <v>-361315.2012227308</v>
      </c>
      <c r="K64" s="15">
        <f t="shared" si="20"/>
        <v>208605.42708156857</v>
      </c>
      <c r="L64" s="15">
        <f t="shared" si="21"/>
        <v>-120438.39855234399</v>
      </c>
      <c r="M64" s="15">
        <f t="shared" si="22"/>
        <v>69535.141289403618</v>
      </c>
      <c r="N64" s="15">
        <f t="shared" si="23"/>
        <v>25734455.166131455</v>
      </c>
      <c r="O64" s="15">
        <f t="shared" si="24"/>
        <v>-14857794.503179627</v>
      </c>
      <c r="P64" s="15">
        <f t="shared" si="25"/>
        <v>8578151.589905981</v>
      </c>
      <c r="Q64" s="15">
        <f t="shared" si="26"/>
        <v>-4952598.091436727</v>
      </c>
      <c r="R64" s="15">
        <f t="shared" si="27"/>
        <v>2859383.8192560491</v>
      </c>
    </row>
    <row r="65" spans="1:18" ht="15" customHeight="1" x14ac:dyDescent="0.25">
      <c r="A65" s="16">
        <v>62</v>
      </c>
      <c r="B65" s="21">
        <f>Raw_Data!B64</f>
        <v>-79.440486000000007</v>
      </c>
      <c r="C65" s="21">
        <f>Raw_Data!C64</f>
        <v>21.286014000000002</v>
      </c>
      <c r="D65" s="17">
        <f>1</f>
        <v>1</v>
      </c>
      <c r="E65" s="17">
        <f t="shared" si="14"/>
        <v>-79.440486000000007</v>
      </c>
      <c r="F65" s="17">
        <f t="shared" si="15"/>
        <v>21.286014000000002</v>
      </c>
      <c r="G65" s="17">
        <f t="shared" si="16"/>
        <v>6310.7908159161971</v>
      </c>
      <c r="H65" s="17">
        <f t="shared" si="17"/>
        <v>-1690.9712971628044</v>
      </c>
      <c r="I65" s="17">
        <f t="shared" si="18"/>
        <v>453.09439200819605</v>
      </c>
      <c r="J65" s="17">
        <f t="shared" si="19"/>
        <v>-501332.28946071927</v>
      </c>
      <c r="K65" s="17">
        <f t="shared" si="20"/>
        <v>134331.58165866361</v>
      </c>
      <c r="L65" s="17">
        <f t="shared" si="21"/>
        <v>-35994.038705005616</v>
      </c>
      <c r="M65" s="17">
        <f t="shared" si="22"/>
        <v>9644.5735716079507</v>
      </c>
      <c r="N65" s="17">
        <f t="shared" si="23"/>
        <v>39826080.72225222</v>
      </c>
      <c r="O65" s="17">
        <f t="shared" si="24"/>
        <v>-10671366.132112924</v>
      </c>
      <c r="P65" s="17">
        <f t="shared" si="25"/>
        <v>2859383.9278284567</v>
      </c>
      <c r="Q65" s="17">
        <f t="shared" si="26"/>
        <v>-766169.61179129151</v>
      </c>
      <c r="R65" s="17">
        <f t="shared" si="27"/>
        <v>205294.52806927683</v>
      </c>
    </row>
    <row r="66" spans="1:18" ht="15" customHeight="1" x14ac:dyDescent="0.25">
      <c r="A66" s="14">
        <v>63</v>
      </c>
      <c r="B66" s="21">
        <f>Raw_Data!B65</f>
        <v>-82.242842999999993</v>
      </c>
      <c r="C66" s="21">
        <f>Raw_Data!C65</f>
        <v>0</v>
      </c>
      <c r="D66" s="15">
        <f>1</f>
        <v>1</v>
      </c>
      <c r="E66" s="15">
        <f t="shared" si="14"/>
        <v>-82.242842999999993</v>
      </c>
      <c r="F66" s="15">
        <f t="shared" si="15"/>
        <v>0</v>
      </c>
      <c r="G66" s="15">
        <f t="shared" si="16"/>
        <v>6763.8852247226478</v>
      </c>
      <c r="H66" s="15">
        <f t="shared" si="17"/>
        <v>0</v>
      </c>
      <c r="I66" s="15">
        <f t="shared" si="18"/>
        <v>0</v>
      </c>
      <c r="J66" s="15">
        <f t="shared" si="19"/>
        <v>-556281.15060688439</v>
      </c>
      <c r="K66" s="15">
        <f t="shared" si="20"/>
        <v>0</v>
      </c>
      <c r="L66" s="15">
        <f t="shared" si="21"/>
        <v>0</v>
      </c>
      <c r="M66" s="15">
        <f t="shared" si="22"/>
        <v>0</v>
      </c>
      <c r="N66" s="15">
        <f t="shared" si="23"/>
        <v>45750143.333221346</v>
      </c>
      <c r="O66" s="15">
        <f t="shared" si="24"/>
        <v>0</v>
      </c>
      <c r="P66" s="15">
        <f t="shared" si="25"/>
        <v>0</v>
      </c>
      <c r="Q66" s="15">
        <f t="shared" si="26"/>
        <v>0</v>
      </c>
      <c r="R66" s="15">
        <f t="shared" si="27"/>
        <v>0</v>
      </c>
    </row>
    <row r="67" spans="1:18" ht="15" customHeight="1" x14ac:dyDescent="0.25">
      <c r="A67" s="16">
        <v>64</v>
      </c>
      <c r="B67" s="21">
        <f>Raw_Data!B66</f>
        <v>0</v>
      </c>
      <c r="C67" s="21">
        <f>Raw_Data!C66</f>
        <v>92.523197999999994</v>
      </c>
      <c r="D67" s="17">
        <f>1</f>
        <v>1</v>
      </c>
      <c r="E67" s="17">
        <f t="shared" si="14"/>
        <v>0</v>
      </c>
      <c r="F67" s="17">
        <f t="shared" si="15"/>
        <v>92.523197999999994</v>
      </c>
      <c r="G67" s="17">
        <f t="shared" si="16"/>
        <v>0</v>
      </c>
      <c r="H67" s="17">
        <f t="shared" si="17"/>
        <v>0</v>
      </c>
      <c r="I67" s="17">
        <f t="shared" si="18"/>
        <v>8560.5421681472035</v>
      </c>
      <c r="J67" s="17">
        <f t="shared" si="19"/>
        <v>0</v>
      </c>
      <c r="K67" s="17">
        <f t="shared" si="20"/>
        <v>0</v>
      </c>
      <c r="L67" s="17">
        <f t="shared" si="21"/>
        <v>0</v>
      </c>
      <c r="M67" s="17">
        <f t="shared" si="22"/>
        <v>792048.73801083292</v>
      </c>
      <c r="N67" s="17">
        <f t="shared" si="23"/>
        <v>0</v>
      </c>
      <c r="O67" s="17">
        <f t="shared" si="24"/>
        <v>0</v>
      </c>
      <c r="P67" s="17">
        <f t="shared" si="25"/>
        <v>0</v>
      </c>
      <c r="Q67" s="17">
        <f t="shared" si="26"/>
        <v>0</v>
      </c>
      <c r="R67" s="17">
        <f t="shared" si="27"/>
        <v>73282882.212626427</v>
      </c>
    </row>
    <row r="68" spans="1:18" ht="15" customHeight="1" x14ac:dyDescent="0.25">
      <c r="A68" s="14">
        <v>65</v>
      </c>
      <c r="B68" s="21">
        <f>Raw_Data!B67</f>
        <v>-23.946766</v>
      </c>
      <c r="C68" s="21">
        <f>Raw_Data!C67</f>
        <v>89.370547000000002</v>
      </c>
      <c r="D68" s="15">
        <f>1</f>
        <v>1</v>
      </c>
      <c r="E68" s="15">
        <f t="shared" ref="E68:E80" si="28">B68</f>
        <v>-23.946766</v>
      </c>
      <c r="F68" s="15">
        <f t="shared" ref="F68:F80" si="29">C68</f>
        <v>89.370547000000002</v>
      </c>
      <c r="G68" s="15">
        <f t="shared" ref="G68:G80" si="30">B68^2</f>
        <v>573.447601858756</v>
      </c>
      <c r="H68" s="15">
        <f t="shared" ref="H68:H80" si="31">B68*C68</f>
        <v>-2140.1355763010019</v>
      </c>
      <c r="I68" s="15">
        <f t="shared" ref="I68:I80" si="32">C68^2</f>
        <v>7987.0946710792095</v>
      </c>
      <c r="J68" s="15">
        <f t="shared" ref="J68:J80" si="33">B68^3</f>
        <v>-13732.215534972795</v>
      </c>
      <c r="K68" s="15">
        <f t="shared" ref="K68:K80" si="34">B68^2*C68</f>
        <v>51249.325853955241</v>
      </c>
      <c r="L68" s="15">
        <f t="shared" ref="L68:L80" si="35">B68*C68^2</f>
        <v>-191265.0871081808</v>
      </c>
      <c r="M68" s="15">
        <f t="shared" ref="M68:M80" si="36">C68^3</f>
        <v>713811.01969513402</v>
      </c>
      <c r="N68" s="15">
        <f t="shared" ref="N68:N80" si="37">B68^4</f>
        <v>328842.15207755833</v>
      </c>
      <c r="O68" s="15">
        <f t="shared" ref="O68:O80" si="38">B68^3*C68</f>
        <v>-1227255.6138824164</v>
      </c>
      <c r="P68" s="15">
        <f t="shared" ref="P68:P80" si="39">B68^2*C68^2</f>
        <v>4580180.2849492226</v>
      </c>
      <c r="Q68" s="15">
        <f t="shared" ref="Q68:Q80" si="40">B68*C68^3</f>
        <v>-17093465.456860766</v>
      </c>
      <c r="R68" s="15">
        <f t="shared" ref="R68:R80" si="41">C68^4</f>
        <v>63793681.284781903</v>
      </c>
    </row>
    <row r="69" spans="1:18" ht="15" customHeight="1" x14ac:dyDescent="0.25">
      <c r="A69" s="16">
        <v>66</v>
      </c>
      <c r="B69" s="21">
        <f>Raw_Data!B68</f>
        <v>-46.261598999999997</v>
      </c>
      <c r="C69" s="21">
        <f>Raw_Data!C68</f>
        <v>80.127440000000007</v>
      </c>
      <c r="D69" s="17">
        <f>1</f>
        <v>1</v>
      </c>
      <c r="E69" s="17">
        <f t="shared" si="28"/>
        <v>-46.261598999999997</v>
      </c>
      <c r="F69" s="17">
        <f t="shared" si="29"/>
        <v>80.127440000000007</v>
      </c>
      <c r="G69" s="17">
        <f t="shared" si="30"/>
        <v>2140.1355420368009</v>
      </c>
      <c r="H69" s="17">
        <f t="shared" si="31"/>
        <v>-3706.82349817656</v>
      </c>
      <c r="I69" s="17">
        <f t="shared" si="32"/>
        <v>6420.4066409536008</v>
      </c>
      <c r="J69" s="17">
        <f t="shared" si="33"/>
        <v>-99006.092251354115</v>
      </c>
      <c r="K69" s="17">
        <f t="shared" si="34"/>
        <v>171483.58223642127</v>
      </c>
      <c r="L69" s="17">
        <f t="shared" si="35"/>
        <v>-297018.27744073246</v>
      </c>
      <c r="M69" s="17">
        <f t="shared" si="36"/>
        <v>514450.74789861124</v>
      </c>
      <c r="N69" s="17">
        <f t="shared" si="37"/>
        <v>4580180.1382891517</v>
      </c>
      <c r="O69" s="17">
        <f t="shared" si="38"/>
        <v>-7933104.716504842</v>
      </c>
      <c r="P69" s="17">
        <f t="shared" si="39"/>
        <v>13740540.446633911</v>
      </c>
      <c r="Q69" s="17">
        <f t="shared" si="40"/>
        <v>-23799314.204535645</v>
      </c>
      <c r="R69" s="17">
        <f t="shared" si="41"/>
        <v>41221621.435201101</v>
      </c>
    </row>
    <row r="70" spans="1:18" ht="15" customHeight="1" x14ac:dyDescent="0.25">
      <c r="A70" s="14">
        <v>67</v>
      </c>
      <c r="B70" s="21">
        <f>Raw_Data!B69</f>
        <v>-65.423781000000005</v>
      </c>
      <c r="C70" s="21">
        <f>Raw_Data!C69</f>
        <v>65.423781000000005</v>
      </c>
      <c r="D70" s="15">
        <f>1</f>
        <v>1</v>
      </c>
      <c r="E70" s="15">
        <f t="shared" si="28"/>
        <v>-65.423781000000005</v>
      </c>
      <c r="F70" s="15">
        <f t="shared" si="29"/>
        <v>65.423781000000005</v>
      </c>
      <c r="G70" s="15">
        <f t="shared" si="30"/>
        <v>4280.2711203359613</v>
      </c>
      <c r="H70" s="15">
        <f t="shared" si="31"/>
        <v>-4280.2711203359613</v>
      </c>
      <c r="I70" s="15">
        <f t="shared" si="32"/>
        <v>4280.2711203359613</v>
      </c>
      <c r="J70" s="15">
        <f t="shared" si="33"/>
        <v>-280031.52039748459</v>
      </c>
      <c r="K70" s="15">
        <f t="shared" si="34"/>
        <v>280031.52039748459</v>
      </c>
      <c r="L70" s="15">
        <f t="shared" si="35"/>
        <v>-280031.52039748459</v>
      </c>
      <c r="M70" s="15">
        <f t="shared" si="36"/>
        <v>280031.52039748459</v>
      </c>
      <c r="N70" s="15">
        <f t="shared" si="37"/>
        <v>18320720.863582067</v>
      </c>
      <c r="O70" s="15">
        <f t="shared" si="38"/>
        <v>-18320720.863582067</v>
      </c>
      <c r="P70" s="15">
        <f t="shared" si="39"/>
        <v>18320720.863582067</v>
      </c>
      <c r="Q70" s="15">
        <f t="shared" si="40"/>
        <v>-18320720.863582067</v>
      </c>
      <c r="R70" s="15">
        <f t="shared" si="41"/>
        <v>18320720.863582067</v>
      </c>
    </row>
    <row r="71" spans="1:18" ht="15" customHeight="1" x14ac:dyDescent="0.25">
      <c r="A71" s="16">
        <v>68</v>
      </c>
      <c r="B71" s="21">
        <f>Raw_Data!B70</f>
        <v>-80.127440000000007</v>
      </c>
      <c r="C71" s="21">
        <f>Raw_Data!C70</f>
        <v>46.261598999999997</v>
      </c>
      <c r="D71" s="17">
        <f>1</f>
        <v>1</v>
      </c>
      <c r="E71" s="17">
        <f t="shared" si="28"/>
        <v>-80.127440000000007</v>
      </c>
      <c r="F71" s="17">
        <f t="shared" si="29"/>
        <v>46.261598999999997</v>
      </c>
      <c r="G71" s="17">
        <f t="shared" si="30"/>
        <v>6420.4066409536008</v>
      </c>
      <c r="H71" s="17">
        <f t="shared" si="31"/>
        <v>-3706.82349817656</v>
      </c>
      <c r="I71" s="17">
        <f t="shared" si="32"/>
        <v>2140.1355420368009</v>
      </c>
      <c r="J71" s="17">
        <f t="shared" si="33"/>
        <v>-514450.74789861124</v>
      </c>
      <c r="K71" s="17">
        <f t="shared" si="34"/>
        <v>297018.27744073246</v>
      </c>
      <c r="L71" s="17">
        <f t="shared" si="35"/>
        <v>-171483.58223642127</v>
      </c>
      <c r="M71" s="17">
        <f t="shared" si="36"/>
        <v>99006.092251354115</v>
      </c>
      <c r="N71" s="17">
        <f t="shared" si="37"/>
        <v>41221621.435201101</v>
      </c>
      <c r="O71" s="17">
        <f t="shared" si="38"/>
        <v>-23799314.204535645</v>
      </c>
      <c r="P71" s="17">
        <f t="shared" si="39"/>
        <v>13740540.446633911</v>
      </c>
      <c r="Q71" s="17">
        <f t="shared" si="40"/>
        <v>-7933104.716504842</v>
      </c>
      <c r="R71" s="17">
        <f t="shared" si="41"/>
        <v>4580180.1382891517</v>
      </c>
    </row>
    <row r="72" spans="1:18" ht="15" customHeight="1" x14ac:dyDescent="0.25">
      <c r="A72" s="14">
        <v>69</v>
      </c>
      <c r="B72" s="21">
        <f>Raw_Data!B71</f>
        <v>-89.370547000000002</v>
      </c>
      <c r="C72" s="21">
        <f>Raw_Data!C71</f>
        <v>23.946766</v>
      </c>
      <c r="D72" s="15">
        <f>1</f>
        <v>1</v>
      </c>
      <c r="E72" s="15">
        <f t="shared" si="28"/>
        <v>-89.370547000000002</v>
      </c>
      <c r="F72" s="15">
        <f t="shared" si="29"/>
        <v>23.946766</v>
      </c>
      <c r="G72" s="15">
        <f t="shared" si="30"/>
        <v>7987.0946710792095</v>
      </c>
      <c r="H72" s="15">
        <f t="shared" si="31"/>
        <v>-2140.1355763010019</v>
      </c>
      <c r="I72" s="15">
        <f t="shared" si="32"/>
        <v>573.447601858756</v>
      </c>
      <c r="J72" s="15">
        <f t="shared" si="33"/>
        <v>-713811.01969513402</v>
      </c>
      <c r="K72" s="15">
        <f t="shared" si="34"/>
        <v>191265.0871081808</v>
      </c>
      <c r="L72" s="15">
        <f t="shared" si="35"/>
        <v>-51249.325853955241</v>
      </c>
      <c r="M72" s="15">
        <f t="shared" si="36"/>
        <v>13732.215534972795</v>
      </c>
      <c r="N72" s="15">
        <f t="shared" si="37"/>
        <v>63793681.284781903</v>
      </c>
      <c r="O72" s="15">
        <f t="shared" si="38"/>
        <v>-17093465.456860766</v>
      </c>
      <c r="P72" s="15">
        <f t="shared" si="39"/>
        <v>4580180.2849492226</v>
      </c>
      <c r="Q72" s="15">
        <f t="shared" si="40"/>
        <v>-1227255.6138824164</v>
      </c>
      <c r="R72" s="15">
        <f t="shared" si="41"/>
        <v>328842.15207755833</v>
      </c>
    </row>
    <row r="73" spans="1:18" ht="15" customHeight="1" x14ac:dyDescent="0.25">
      <c r="A73" s="16">
        <v>70</v>
      </c>
      <c r="B73" s="21">
        <f>Raw_Data!B72</f>
        <v>-92.523197999999994</v>
      </c>
      <c r="C73" s="21">
        <f>Raw_Data!C72</f>
        <v>0</v>
      </c>
      <c r="D73" s="17">
        <f>1</f>
        <v>1</v>
      </c>
      <c r="E73" s="17">
        <f t="shared" si="28"/>
        <v>-92.523197999999994</v>
      </c>
      <c r="F73" s="17">
        <f t="shared" si="29"/>
        <v>0</v>
      </c>
      <c r="G73" s="17">
        <f t="shared" si="30"/>
        <v>8560.5421681472035</v>
      </c>
      <c r="H73" s="17">
        <f t="shared" si="31"/>
        <v>0</v>
      </c>
      <c r="I73" s="17">
        <f t="shared" si="32"/>
        <v>0</v>
      </c>
      <c r="J73" s="17">
        <f t="shared" si="33"/>
        <v>-792048.73801083292</v>
      </c>
      <c r="K73" s="17">
        <f t="shared" si="34"/>
        <v>0</v>
      </c>
      <c r="L73" s="17">
        <f t="shared" si="35"/>
        <v>0</v>
      </c>
      <c r="M73" s="17">
        <f t="shared" si="36"/>
        <v>0</v>
      </c>
      <c r="N73" s="17">
        <f t="shared" si="37"/>
        <v>73282882.212626427</v>
      </c>
      <c r="O73" s="17">
        <f t="shared" si="38"/>
        <v>0</v>
      </c>
      <c r="P73" s="17">
        <f t="shared" si="39"/>
        <v>0</v>
      </c>
      <c r="Q73" s="17">
        <f t="shared" si="40"/>
        <v>0</v>
      </c>
      <c r="R73" s="17">
        <f t="shared" si="41"/>
        <v>0</v>
      </c>
    </row>
    <row r="74" spans="1:18" ht="15" customHeight="1" x14ac:dyDescent="0.25">
      <c r="A74" s="14">
        <v>71</v>
      </c>
      <c r="B74" s="21">
        <f>Raw_Data!B73</f>
        <v>0</v>
      </c>
      <c r="C74" s="21">
        <f>Raw_Data!C73</f>
        <v>102.80355299999999</v>
      </c>
      <c r="D74" s="15">
        <f>1</f>
        <v>1</v>
      </c>
      <c r="E74" s="15">
        <f t="shared" si="28"/>
        <v>0</v>
      </c>
      <c r="F74" s="15">
        <f t="shared" si="29"/>
        <v>102.80355299999999</v>
      </c>
      <c r="G74" s="15">
        <f t="shared" si="30"/>
        <v>0</v>
      </c>
      <c r="H74" s="15">
        <f t="shared" si="31"/>
        <v>0</v>
      </c>
      <c r="I74" s="15">
        <f t="shared" si="32"/>
        <v>10568.570509423807</v>
      </c>
      <c r="J74" s="15">
        <f t="shared" si="33"/>
        <v>0</v>
      </c>
      <c r="K74" s="15">
        <f t="shared" si="34"/>
        <v>0</v>
      </c>
      <c r="L74" s="15">
        <f t="shared" si="35"/>
        <v>0</v>
      </c>
      <c r="M74" s="15">
        <f t="shared" si="36"/>
        <v>1086486.5984997873</v>
      </c>
      <c r="N74" s="15">
        <f t="shared" si="37"/>
        <v>0</v>
      </c>
      <c r="O74" s="15">
        <f t="shared" si="38"/>
        <v>0</v>
      </c>
      <c r="P74" s="15">
        <f t="shared" si="39"/>
        <v>0</v>
      </c>
      <c r="Q74" s="15">
        <f t="shared" si="40"/>
        <v>0</v>
      </c>
      <c r="R74" s="15">
        <f t="shared" si="41"/>
        <v>111694682.6126626</v>
      </c>
    </row>
    <row r="75" spans="1:18" ht="15" customHeight="1" x14ac:dyDescent="0.25">
      <c r="A75" s="16">
        <v>72</v>
      </c>
      <c r="B75" s="21">
        <f>Raw_Data!B74</f>
        <v>-26.607517999999999</v>
      </c>
      <c r="C75" s="21">
        <f>Raw_Data!C74</f>
        <v>99.300606999999999</v>
      </c>
      <c r="D75" s="17">
        <f>1</f>
        <v>1</v>
      </c>
      <c r="E75" s="17">
        <f t="shared" si="28"/>
        <v>-26.607517999999999</v>
      </c>
      <c r="F75" s="17">
        <f t="shared" si="29"/>
        <v>99.300606999999999</v>
      </c>
      <c r="G75" s="17">
        <f t="shared" si="30"/>
        <v>707.96001412032399</v>
      </c>
      <c r="H75" s="17">
        <f t="shared" si="31"/>
        <v>-2642.1426881634261</v>
      </c>
      <c r="I75" s="17">
        <f t="shared" si="32"/>
        <v>9860.6105505684482</v>
      </c>
      <c r="J75" s="17">
        <f t="shared" si="33"/>
        <v>-18837.058818986774</v>
      </c>
      <c r="K75" s="17">
        <f t="shared" si="34"/>
        <v>70300.859133876744</v>
      </c>
      <c r="L75" s="17">
        <f t="shared" si="35"/>
        <v>-262366.37271523988</v>
      </c>
      <c r="M75" s="17">
        <f t="shared" si="36"/>
        <v>979164.61306205112</v>
      </c>
      <c r="N75" s="17">
        <f t="shared" si="37"/>
        <v>501207.38159324933</v>
      </c>
      <c r="O75" s="17">
        <f t="shared" si="38"/>
        <v>-1870531.3748200897</v>
      </c>
      <c r="P75" s="17">
        <f t="shared" si="39"/>
        <v>6980917.9846154545</v>
      </c>
      <c r="Q75" s="17">
        <f t="shared" si="40"/>
        <v>-26053140.067011558</v>
      </c>
      <c r="R75" s="17">
        <f t="shared" si="41"/>
        <v>97231640.429981798</v>
      </c>
    </row>
    <row r="76" spans="1:18" ht="15" customHeight="1" x14ac:dyDescent="0.25">
      <c r="A76" s="14">
        <v>73</v>
      </c>
      <c r="B76" s="21">
        <f>Raw_Data!B75</f>
        <v>-51.401777000000003</v>
      </c>
      <c r="C76" s="21">
        <f>Raw_Data!C75</f>
        <v>89.030489000000003</v>
      </c>
      <c r="D76" s="15">
        <f>1</f>
        <v>1</v>
      </c>
      <c r="E76" s="15">
        <f t="shared" si="28"/>
        <v>-51.401777000000003</v>
      </c>
      <c r="F76" s="15">
        <f t="shared" si="29"/>
        <v>89.030489000000003</v>
      </c>
      <c r="G76" s="15">
        <f t="shared" si="30"/>
        <v>2642.1426787577293</v>
      </c>
      <c r="H76" s="15">
        <f t="shared" si="31"/>
        <v>-4576.3253417789538</v>
      </c>
      <c r="I76" s="15">
        <f t="shared" si="32"/>
        <v>7926.4279715791217</v>
      </c>
      <c r="J76" s="15">
        <f t="shared" si="33"/>
        <v>-135810.82877568743</v>
      </c>
      <c r="K76" s="15">
        <f t="shared" si="34"/>
        <v>235231.25469757055</v>
      </c>
      <c r="L76" s="15">
        <f t="shared" si="35"/>
        <v>-407432.48300167237</v>
      </c>
      <c r="M76" s="15">
        <f t="shared" si="36"/>
        <v>705693.75833296729</v>
      </c>
      <c r="N76" s="15">
        <f t="shared" si="37"/>
        <v>6980917.9349130699</v>
      </c>
      <c r="O76" s="15">
        <f t="shared" si="38"/>
        <v>-12091304.497394724</v>
      </c>
      <c r="P76" s="15">
        <f t="shared" si="39"/>
        <v>20942753.633808255</v>
      </c>
      <c r="Q76" s="15">
        <f t="shared" si="40"/>
        <v>-36273913.196123078</v>
      </c>
      <c r="R76" s="15">
        <f t="shared" si="41"/>
        <v>62828260.38863191</v>
      </c>
    </row>
    <row r="77" spans="1:18" ht="15" customHeight="1" x14ac:dyDescent="0.25">
      <c r="A77" s="16">
        <v>74</v>
      </c>
      <c r="B77" s="21">
        <f>Raw_Data!B76</f>
        <v>-72.693089999999998</v>
      </c>
      <c r="C77" s="21">
        <f>Raw_Data!C76</f>
        <v>72.693089999999998</v>
      </c>
      <c r="D77" s="17">
        <f>1</f>
        <v>1</v>
      </c>
      <c r="E77" s="17">
        <f t="shared" si="28"/>
        <v>-72.693089999999998</v>
      </c>
      <c r="F77" s="17">
        <f t="shared" si="29"/>
        <v>72.693089999999998</v>
      </c>
      <c r="G77" s="17">
        <f t="shared" si="30"/>
        <v>5284.2853337481001</v>
      </c>
      <c r="H77" s="17">
        <f t="shared" si="31"/>
        <v>-5284.2853337481001</v>
      </c>
      <c r="I77" s="17">
        <f t="shared" si="32"/>
        <v>5284.2853337481001</v>
      </c>
      <c r="J77" s="17">
        <f t="shared" si="33"/>
        <v>-384131.02935183066</v>
      </c>
      <c r="K77" s="17">
        <f t="shared" si="34"/>
        <v>384131.02935183066</v>
      </c>
      <c r="L77" s="17">
        <f t="shared" si="35"/>
        <v>-384131.02935183066</v>
      </c>
      <c r="M77" s="17">
        <f t="shared" si="36"/>
        <v>384131.02935183066</v>
      </c>
      <c r="N77" s="17">
        <f t="shared" si="37"/>
        <v>27923671.488465268</v>
      </c>
      <c r="O77" s="17">
        <f t="shared" si="38"/>
        <v>-27923671.488465268</v>
      </c>
      <c r="P77" s="17">
        <f t="shared" si="39"/>
        <v>27923671.488465268</v>
      </c>
      <c r="Q77" s="17">
        <f t="shared" si="40"/>
        <v>-27923671.488465268</v>
      </c>
      <c r="R77" s="17">
        <f t="shared" si="41"/>
        <v>27923671.488465268</v>
      </c>
    </row>
    <row r="78" spans="1:18" ht="15" customHeight="1" x14ac:dyDescent="0.25">
      <c r="A78" s="14">
        <v>75</v>
      </c>
      <c r="B78" s="21">
        <f>Raw_Data!B77</f>
        <v>-89.030489000000003</v>
      </c>
      <c r="C78" s="21">
        <f>Raw_Data!C77</f>
        <v>51.401777000000003</v>
      </c>
      <c r="D78" s="15">
        <f>1</f>
        <v>1</v>
      </c>
      <c r="E78" s="15">
        <f t="shared" si="28"/>
        <v>-89.030489000000003</v>
      </c>
      <c r="F78" s="15">
        <f t="shared" si="29"/>
        <v>51.401777000000003</v>
      </c>
      <c r="G78" s="15">
        <f t="shared" si="30"/>
        <v>7926.4279715791217</v>
      </c>
      <c r="H78" s="15">
        <f t="shared" si="31"/>
        <v>-4576.3253417789538</v>
      </c>
      <c r="I78" s="15">
        <f t="shared" si="32"/>
        <v>2642.1426787577293</v>
      </c>
      <c r="J78" s="15">
        <f t="shared" si="33"/>
        <v>-705693.75833296729</v>
      </c>
      <c r="K78" s="15">
        <f t="shared" si="34"/>
        <v>407432.48300167237</v>
      </c>
      <c r="L78" s="15">
        <f t="shared" si="35"/>
        <v>-235231.25469757055</v>
      </c>
      <c r="M78" s="15">
        <f t="shared" si="36"/>
        <v>135810.82877568743</v>
      </c>
      <c r="N78" s="15">
        <f t="shared" si="37"/>
        <v>62828260.38863191</v>
      </c>
      <c r="O78" s="15">
        <f t="shared" si="38"/>
        <v>-36273913.196123078</v>
      </c>
      <c r="P78" s="15">
        <f t="shared" si="39"/>
        <v>20942753.633808255</v>
      </c>
      <c r="Q78" s="15">
        <f t="shared" si="40"/>
        <v>-12091304.497394724</v>
      </c>
      <c r="R78" s="15">
        <f t="shared" si="41"/>
        <v>6980917.9349130699</v>
      </c>
    </row>
    <row r="79" spans="1:18" ht="15" customHeight="1" x14ac:dyDescent="0.25">
      <c r="A79" s="16">
        <v>76</v>
      </c>
      <c r="B79" s="21">
        <f>Raw_Data!B78</f>
        <v>-99.300606999999999</v>
      </c>
      <c r="C79" s="21">
        <f>Raw_Data!C78</f>
        <v>26.607517999999999</v>
      </c>
      <c r="D79" s="17">
        <f>1</f>
        <v>1</v>
      </c>
      <c r="E79" s="17">
        <f t="shared" si="28"/>
        <v>-99.300606999999999</v>
      </c>
      <c r="F79" s="17">
        <f t="shared" si="29"/>
        <v>26.607517999999999</v>
      </c>
      <c r="G79" s="17">
        <f t="shared" si="30"/>
        <v>9860.6105505684482</v>
      </c>
      <c r="H79" s="17">
        <f t="shared" si="31"/>
        <v>-2642.1426881634261</v>
      </c>
      <c r="I79" s="17">
        <f t="shared" si="32"/>
        <v>707.96001412032399</v>
      </c>
      <c r="J79" s="17">
        <f t="shared" si="33"/>
        <v>-979164.61306205112</v>
      </c>
      <c r="K79" s="17">
        <f t="shared" si="34"/>
        <v>262366.37271523988</v>
      </c>
      <c r="L79" s="17">
        <f t="shared" si="35"/>
        <v>-70300.859133876744</v>
      </c>
      <c r="M79" s="17">
        <f t="shared" si="36"/>
        <v>18837.058818986774</v>
      </c>
      <c r="N79" s="17">
        <f t="shared" si="37"/>
        <v>97231640.429981798</v>
      </c>
      <c r="O79" s="17">
        <f t="shared" si="38"/>
        <v>-26053140.067011558</v>
      </c>
      <c r="P79" s="17">
        <f t="shared" si="39"/>
        <v>6980917.9846154545</v>
      </c>
      <c r="Q79" s="17">
        <f t="shared" si="40"/>
        <v>-1870531.3748200897</v>
      </c>
      <c r="R79" s="17">
        <f t="shared" si="41"/>
        <v>501207.38159324933</v>
      </c>
    </row>
    <row r="80" spans="1:18" ht="15" customHeight="1" x14ac:dyDescent="0.25">
      <c r="A80" s="14">
        <v>77</v>
      </c>
      <c r="B80" s="21">
        <f>Raw_Data!B79</f>
        <v>-102.80355299999999</v>
      </c>
      <c r="C80" s="21">
        <f>Raw_Data!C79</f>
        <v>0</v>
      </c>
      <c r="D80" s="15">
        <f>1</f>
        <v>1</v>
      </c>
      <c r="E80" s="15">
        <f t="shared" si="28"/>
        <v>-102.80355299999999</v>
      </c>
      <c r="F80" s="15">
        <f t="shared" si="29"/>
        <v>0</v>
      </c>
      <c r="G80" s="15">
        <f t="shared" si="30"/>
        <v>10568.570509423807</v>
      </c>
      <c r="H80" s="15">
        <f t="shared" si="31"/>
        <v>0</v>
      </c>
      <c r="I80" s="15">
        <f t="shared" si="32"/>
        <v>0</v>
      </c>
      <c r="J80" s="15">
        <f t="shared" si="33"/>
        <v>-1086486.5984997873</v>
      </c>
      <c r="K80" s="15">
        <f t="shared" si="34"/>
        <v>0</v>
      </c>
      <c r="L80" s="15">
        <f t="shared" si="35"/>
        <v>0</v>
      </c>
      <c r="M80" s="15">
        <f t="shared" si="36"/>
        <v>0</v>
      </c>
      <c r="N80" s="15">
        <f t="shared" si="37"/>
        <v>111694682.6126626</v>
      </c>
      <c r="O80" s="15">
        <f t="shared" si="38"/>
        <v>0</v>
      </c>
      <c r="P80" s="15">
        <f t="shared" si="39"/>
        <v>0</v>
      </c>
      <c r="Q80" s="15">
        <f t="shared" si="40"/>
        <v>0</v>
      </c>
      <c r="R80" s="15">
        <f t="shared" si="41"/>
        <v>0</v>
      </c>
    </row>
  </sheetData>
  <mergeCells count="3">
    <mergeCell ref="A1:R1"/>
    <mergeCell ref="A2:B2"/>
    <mergeCell ref="C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7"/>
  <sheetViews>
    <sheetView zoomScaleNormal="100" workbookViewId="0">
      <selection activeCell="A22" sqref="A22:XFD22"/>
    </sheetView>
  </sheetViews>
  <sheetFormatPr defaultColWidth="8.7109375" defaultRowHeight="15" x14ac:dyDescent="0.25"/>
  <cols>
    <col min="1" max="1" width="13" customWidth="1"/>
    <col min="2" max="16" width="20.7109375" customWidth="1"/>
  </cols>
  <sheetData>
    <row r="1" spans="1:17" ht="18" customHeight="1" x14ac:dyDescent="0.25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.75" customHeight="1" x14ac:dyDescent="0.25">
      <c r="A2" s="18" t="s">
        <v>51</v>
      </c>
      <c r="B2" s="4" t="s">
        <v>52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7" ht="27.75" customHeight="1" x14ac:dyDescent="0.25">
      <c r="A3" s="13" t="s">
        <v>53</v>
      </c>
      <c r="B3" s="22" t="s">
        <v>35</v>
      </c>
      <c r="C3" s="22" t="s">
        <v>36</v>
      </c>
      <c r="D3" s="22" t="s">
        <v>37</v>
      </c>
      <c r="E3" s="22" t="s">
        <v>38</v>
      </c>
      <c r="F3" s="22" t="s">
        <v>39</v>
      </c>
      <c r="G3" s="22" t="s">
        <v>40</v>
      </c>
      <c r="H3" s="22" t="s">
        <v>41</v>
      </c>
      <c r="I3" s="22" t="s">
        <v>42</v>
      </c>
      <c r="J3" s="22" t="s">
        <v>43</v>
      </c>
      <c r="K3" s="22" t="s">
        <v>44</v>
      </c>
      <c r="L3" s="22" t="s">
        <v>45</v>
      </c>
      <c r="M3" s="22" t="s">
        <v>46</v>
      </c>
      <c r="N3" s="22" t="s">
        <v>47</v>
      </c>
      <c r="O3" s="22" t="s">
        <v>48</v>
      </c>
      <c r="P3" s="22" t="s">
        <v>49</v>
      </c>
    </row>
    <row r="4" spans="1:17" s="62" customFormat="1" ht="15" customHeight="1" x14ac:dyDescent="0.25">
      <c r="A4" s="59" t="s">
        <v>35</v>
      </c>
      <c r="B4" s="60">
        <f>SUMPRODUCT(Step1_Features!D$4:D$80,Step1_Features!D$4:D$80)</f>
        <v>77</v>
      </c>
      <c r="C4" s="61">
        <f>SUMPRODUCT(Step1_Features!D$4:D$80,Step1_Features!E$4:E$80)</f>
        <v>-2430.1036870000007</v>
      </c>
      <c r="D4" s="61">
        <f>SUMPRODUCT(Step1_Features!D$4:D$80,Step1_Features!F$4:F$80)</f>
        <v>2430.1036870000003</v>
      </c>
      <c r="E4" s="61">
        <f>SUMPRODUCT(Step1_Features!D$4:D$80,Step1_Features!G$4:G$80)</f>
        <v>142411.48884676251</v>
      </c>
      <c r="F4" s="61">
        <f>SUMPRODUCT(Step1_Features!D$4:D$80,Step1_Features!H$4:H$80)</f>
        <v>-75926.701994156349</v>
      </c>
      <c r="G4" s="61">
        <f>SUMPRODUCT(Step1_Features!D$4:D$80,Step1_Features!I$4:I$80)</f>
        <v>142411.48884676248</v>
      </c>
      <c r="H4" s="61">
        <f>SUMPRODUCT(Step1_Features!D$4:D$80,Step1_Features!J$4:J$80)</f>
        <v>-10013124.789595528</v>
      </c>
      <c r="I4" s="61">
        <f>SUMPRODUCT(Step1_Features!D$4:D$80,Step1_Features!K$4:K$80)</f>
        <v>4112372.5225680848</v>
      </c>
      <c r="J4" s="61">
        <f>SUMPRODUCT(Step1_Features!D$4:D$80,Step1_Features!L$4:L$80)</f>
        <v>-4112372.5225680852</v>
      </c>
      <c r="K4" s="61">
        <f>SUMPRODUCT(Step1_Features!D$4:D$80,Step1_Features!M$4:M$80)</f>
        <v>10013124.789595528</v>
      </c>
      <c r="L4" s="61">
        <f>SUMPRODUCT(Step1_Features!D$4:D$80,Step1_Features!N$4:N$80)</f>
        <v>778129395.38952565</v>
      </c>
      <c r="M4" s="61">
        <f>SUMPRODUCT(Step1_Features!D$4:D$80,Step1_Features!O$4:O$80)</f>
        <v>-264001678.45402309</v>
      </c>
      <c r="N4" s="61">
        <f>SUMPRODUCT(Step1_Features!D$4:D$80,Step1_Features!P$4:P$80)</f>
        <v>212217109.93177155</v>
      </c>
      <c r="O4" s="61">
        <f>SUMPRODUCT(Step1_Features!D$4:D$80,Step1_Features!Q$4:Q$80)</f>
        <v>-264001678.45402309</v>
      </c>
      <c r="P4" s="61">
        <f>SUMPRODUCT(Step1_Features!D$4:D$80,Step1_Features!R$4:R$80)</f>
        <v>778129395.38952565</v>
      </c>
    </row>
    <row r="5" spans="1:17" s="62" customFormat="1" ht="15" customHeight="1" x14ac:dyDescent="0.25">
      <c r="A5" s="59" t="s">
        <v>36</v>
      </c>
      <c r="B5" s="63">
        <f>SUMPRODUCT(Step1_Features!E$4:E$80,Step1_Features!D$4:D$80)</f>
        <v>-2430.1036870000007</v>
      </c>
      <c r="C5" s="60">
        <f>SUMPRODUCT(Step1_Features!E$4:E$80,Step1_Features!E$4:E$80)</f>
        <v>142411.48884676251</v>
      </c>
      <c r="D5" s="63">
        <f>SUMPRODUCT(Step1_Features!E$4:E$80,Step1_Features!F$4:F$80)</f>
        <v>-75926.701994156349</v>
      </c>
      <c r="E5" s="63">
        <f>SUMPRODUCT(Step1_Features!E$4:E$80,Step1_Features!G$4:G$80)</f>
        <v>-10013124.789595528</v>
      </c>
      <c r="F5" s="63">
        <f>SUMPRODUCT(Step1_Features!E$4:E$80,Step1_Features!H$4:H$80)</f>
        <v>4112372.5225680848</v>
      </c>
      <c r="G5" s="63">
        <f>SUMPRODUCT(Step1_Features!E$4:E$80,Step1_Features!I$4:I$80)</f>
        <v>-4112372.5225680852</v>
      </c>
      <c r="H5" s="63">
        <f>SUMPRODUCT(Step1_Features!E$4:E$80,Step1_Features!J$4:J$80)</f>
        <v>778129395.38952553</v>
      </c>
      <c r="I5" s="63">
        <f>SUMPRODUCT(Step1_Features!E$4:E$80,Step1_Features!K$4:K$80)</f>
        <v>-264001678.45402309</v>
      </c>
      <c r="J5" s="63">
        <f>SUMPRODUCT(Step1_Features!E$4:E$80,Step1_Features!L$4:L$80)</f>
        <v>212217109.93177155</v>
      </c>
      <c r="K5" s="63">
        <f>SUMPRODUCT(Step1_Features!E$4:E$80,Step1_Features!M$4:M$80)</f>
        <v>-264001678.45402309</v>
      </c>
      <c r="L5" s="63">
        <f>SUMPRODUCT(Step1_Features!E$4:E$80,Step1_Features!N$4:N$80)</f>
        <v>-64333891352.440445</v>
      </c>
      <c r="M5" s="63">
        <f>SUMPRODUCT(Step1_Features!E$4:E$80,Step1_Features!O$4:O$80)</f>
        <v>18809254128.767746</v>
      </c>
      <c r="N5" s="63">
        <f>SUMPRODUCT(Step1_Features!E$4:E$80,Step1_Features!P$4:P$80)</f>
        <v>-12917932501.323334</v>
      </c>
      <c r="O5" s="63">
        <f>SUMPRODUCT(Step1_Features!E$4:E$80,Step1_Features!Q$4:Q$80)</f>
        <v>12917932501.32333</v>
      </c>
      <c r="P5" s="63">
        <f>SUMPRODUCT(Step1_Features!E$4:E$80,Step1_Features!R$4:R$80)</f>
        <v>-18809254128.76775</v>
      </c>
    </row>
    <row r="6" spans="1:17" s="62" customFormat="1" ht="15" customHeight="1" x14ac:dyDescent="0.25">
      <c r="A6" s="59" t="s">
        <v>37</v>
      </c>
      <c r="B6" s="61">
        <f>SUMPRODUCT(Step1_Features!F$4:F$80,Step1_Features!D$4:D$80)</f>
        <v>2430.1036870000003</v>
      </c>
      <c r="C6" s="61">
        <f>SUMPRODUCT(Step1_Features!F$4:F$80,Step1_Features!E$4:E$80)</f>
        <v>-75926.701994156349</v>
      </c>
      <c r="D6" s="60">
        <f>SUMPRODUCT(Step1_Features!F$4:F$80,Step1_Features!F$4:F$80)</f>
        <v>142411.48884676248</v>
      </c>
      <c r="E6" s="61">
        <f>SUMPRODUCT(Step1_Features!F$4:F$80,Step1_Features!G$4:G$80)</f>
        <v>4112372.5225680848</v>
      </c>
      <c r="F6" s="61">
        <f>SUMPRODUCT(Step1_Features!F$4:F$80,Step1_Features!H$4:H$80)</f>
        <v>-4112372.5225680852</v>
      </c>
      <c r="G6" s="61">
        <f>SUMPRODUCT(Step1_Features!F$4:F$80,Step1_Features!I$4:I$80)</f>
        <v>10013124.789595528</v>
      </c>
      <c r="H6" s="61">
        <f>SUMPRODUCT(Step1_Features!F$4:F$80,Step1_Features!J$4:J$80)</f>
        <v>-264001678.45402309</v>
      </c>
      <c r="I6" s="61">
        <f>SUMPRODUCT(Step1_Features!F$4:F$80,Step1_Features!K$4:K$80)</f>
        <v>212217109.93177158</v>
      </c>
      <c r="J6" s="61">
        <f>SUMPRODUCT(Step1_Features!F$4:F$80,Step1_Features!L$4:L$80)</f>
        <v>-264001678.45402309</v>
      </c>
      <c r="K6" s="61">
        <f>SUMPRODUCT(Step1_Features!F$4:F$80,Step1_Features!M$4:M$80)</f>
        <v>778129395.38952553</v>
      </c>
      <c r="L6" s="61">
        <f>SUMPRODUCT(Step1_Features!F$4:F$80,Step1_Features!N$4:N$80)</f>
        <v>18809254128.76775</v>
      </c>
      <c r="M6" s="61">
        <f>SUMPRODUCT(Step1_Features!F$4:F$80,Step1_Features!O$4:O$80)</f>
        <v>-12917932501.323332</v>
      </c>
      <c r="N6" s="61">
        <f>SUMPRODUCT(Step1_Features!F$4:F$80,Step1_Features!P$4:P$80)</f>
        <v>12917932501.32333</v>
      </c>
      <c r="O6" s="61">
        <f>SUMPRODUCT(Step1_Features!F$4:F$80,Step1_Features!Q$4:Q$80)</f>
        <v>-18809254128.76775</v>
      </c>
      <c r="P6" s="61">
        <f>SUMPRODUCT(Step1_Features!F$4:F$80,Step1_Features!R$4:R$80)</f>
        <v>64333891352.440437</v>
      </c>
    </row>
    <row r="7" spans="1:17" s="62" customFormat="1" ht="15" customHeight="1" x14ac:dyDescent="0.25">
      <c r="A7" s="59" t="s">
        <v>38</v>
      </c>
      <c r="B7" s="63">
        <f>SUMPRODUCT(Step1_Features!G$4:G$80,Step1_Features!D$4:D$80)</f>
        <v>142411.48884676251</v>
      </c>
      <c r="C7" s="63">
        <f>SUMPRODUCT(Step1_Features!G$4:G$80,Step1_Features!E$4:E$80)</f>
        <v>-10013124.789595528</v>
      </c>
      <c r="D7" s="63">
        <f>SUMPRODUCT(Step1_Features!G$4:G$80,Step1_Features!F$4:F$80)</f>
        <v>4112372.5225680848</v>
      </c>
      <c r="E7" s="60">
        <f>SUMPRODUCT(Step1_Features!G$4:G$80,Step1_Features!G$4:G$80)</f>
        <v>778129395.38952565</v>
      </c>
      <c r="F7" s="63">
        <f>SUMPRODUCT(Step1_Features!G$4:G$80,Step1_Features!H$4:H$80)</f>
        <v>-264001678.45402309</v>
      </c>
      <c r="G7" s="63">
        <f>SUMPRODUCT(Step1_Features!G$4:G$80,Step1_Features!I$4:I$80)</f>
        <v>212217109.93177155</v>
      </c>
      <c r="H7" s="63">
        <f>SUMPRODUCT(Step1_Features!G$4:G$80,Step1_Features!J$4:J$80)</f>
        <v>-64333891352.440445</v>
      </c>
      <c r="I7" s="63">
        <f>SUMPRODUCT(Step1_Features!G$4:G$80,Step1_Features!K$4:K$80)</f>
        <v>18809254128.76775</v>
      </c>
      <c r="J7" s="63">
        <f>SUMPRODUCT(Step1_Features!G$4:G$80,Step1_Features!L$4:L$80)</f>
        <v>-12917932501.323334</v>
      </c>
      <c r="K7" s="63">
        <f>SUMPRODUCT(Step1_Features!G$4:G$80,Step1_Features!M$4:M$80)</f>
        <v>12917932501.32333</v>
      </c>
      <c r="L7" s="63">
        <f>SUMPRODUCT(Step1_Features!G$4:G$80,Step1_Features!N$4:N$80)</f>
        <v>5546609247696.0527</v>
      </c>
      <c r="M7" s="63">
        <f>SUMPRODUCT(Step1_Features!G$4:G$80,Step1_Features!O$4:O$80)</f>
        <v>-1434838794621.1387</v>
      </c>
      <c r="N7" s="63">
        <f>SUMPRODUCT(Step1_Features!G$4:G$80,Step1_Features!P$4:P$80)</f>
        <v>875780423003.92078</v>
      </c>
      <c r="O7" s="63">
        <f>SUMPRODUCT(Step1_Features!G$4:G$80,Step1_Features!Q$4:Q$80)</f>
        <v>-744132557514.75061</v>
      </c>
      <c r="P7" s="63">
        <f>SUMPRODUCT(Step1_Features!G$4:G$80,Step1_Features!R$4:R$80)</f>
        <v>875780423003.92053</v>
      </c>
    </row>
    <row r="8" spans="1:17" s="62" customFormat="1" ht="15" customHeight="1" x14ac:dyDescent="0.25">
      <c r="A8" s="59" t="s">
        <v>39</v>
      </c>
      <c r="B8" s="61">
        <f>SUMPRODUCT(Step1_Features!H$4:H$80,Step1_Features!D$4:D$80)</f>
        <v>-75926.701994156349</v>
      </c>
      <c r="C8" s="61">
        <f>SUMPRODUCT(Step1_Features!H$4:H$80,Step1_Features!E$4:E$80)</f>
        <v>4112372.5225680848</v>
      </c>
      <c r="D8" s="61">
        <f>SUMPRODUCT(Step1_Features!H$4:H$80,Step1_Features!F$4:F$80)</f>
        <v>-4112372.5225680852</v>
      </c>
      <c r="E8" s="61">
        <f>SUMPRODUCT(Step1_Features!H$4:H$80,Step1_Features!G$4:G$80)</f>
        <v>-264001678.45402309</v>
      </c>
      <c r="F8" s="60">
        <f>SUMPRODUCT(Step1_Features!H$4:H$80,Step1_Features!H$4:H$80)</f>
        <v>212217109.93177155</v>
      </c>
      <c r="G8" s="61">
        <f>SUMPRODUCT(Step1_Features!H$4:H$80,Step1_Features!I$4:I$80)</f>
        <v>-264001678.45402315</v>
      </c>
      <c r="H8" s="61">
        <f>SUMPRODUCT(Step1_Features!H$4:H$80,Step1_Features!J$4:J$80)</f>
        <v>18809254128.767746</v>
      </c>
      <c r="I8" s="61">
        <f>SUMPRODUCT(Step1_Features!H$4:H$80,Step1_Features!K$4:K$80)</f>
        <v>-12917932501.323334</v>
      </c>
      <c r="J8" s="61">
        <f>SUMPRODUCT(Step1_Features!H$4:H$80,Step1_Features!L$4:L$80)</f>
        <v>12917932501.32333</v>
      </c>
      <c r="K8" s="61">
        <f>SUMPRODUCT(Step1_Features!H$4:H$80,Step1_Features!M$4:M$80)</f>
        <v>-18809254128.76775</v>
      </c>
      <c r="L8" s="61">
        <f>SUMPRODUCT(Step1_Features!H$4:H$80,Step1_Features!N$4:N$80)</f>
        <v>-1434838794621.1389</v>
      </c>
      <c r="M8" s="61">
        <f>SUMPRODUCT(Step1_Features!H$4:H$80,Step1_Features!O$4:O$80)</f>
        <v>875780423003.92065</v>
      </c>
      <c r="N8" s="61">
        <f>SUMPRODUCT(Step1_Features!H$4:H$80,Step1_Features!P$4:P$80)</f>
        <v>-744132557514.75073</v>
      </c>
      <c r="O8" s="61">
        <f>SUMPRODUCT(Step1_Features!H$4:H$80,Step1_Features!Q$4:Q$80)</f>
        <v>875780423003.92053</v>
      </c>
      <c r="P8" s="61">
        <f>SUMPRODUCT(Step1_Features!H$4:H$80,Step1_Features!R$4:R$80)</f>
        <v>-1434838794621.1389</v>
      </c>
    </row>
    <row r="9" spans="1:17" s="62" customFormat="1" ht="15" customHeight="1" x14ac:dyDescent="0.25">
      <c r="A9" s="59" t="s">
        <v>40</v>
      </c>
      <c r="B9" s="63">
        <f>SUMPRODUCT(Step1_Features!I$4:I$80,Step1_Features!D$4:D$80)</f>
        <v>142411.48884676248</v>
      </c>
      <c r="C9" s="63">
        <f>SUMPRODUCT(Step1_Features!I$4:I$80,Step1_Features!E$4:E$80)</f>
        <v>-4112372.5225680852</v>
      </c>
      <c r="D9" s="63">
        <f>SUMPRODUCT(Step1_Features!I$4:I$80,Step1_Features!F$4:F$80)</f>
        <v>10013124.789595528</v>
      </c>
      <c r="E9" s="63">
        <f>SUMPRODUCT(Step1_Features!I$4:I$80,Step1_Features!G$4:G$80)</f>
        <v>212217109.93177155</v>
      </c>
      <c r="F9" s="63">
        <f>SUMPRODUCT(Step1_Features!I$4:I$80,Step1_Features!H$4:H$80)</f>
        <v>-264001678.45402315</v>
      </c>
      <c r="G9" s="60">
        <f>SUMPRODUCT(Step1_Features!I$4:I$80,Step1_Features!I$4:I$80)</f>
        <v>778129395.38952565</v>
      </c>
      <c r="H9" s="63">
        <f>SUMPRODUCT(Step1_Features!I$4:I$80,Step1_Features!J$4:J$80)</f>
        <v>-12917932501.323332</v>
      </c>
      <c r="I9" s="63">
        <f>SUMPRODUCT(Step1_Features!I$4:I$80,Step1_Features!K$4:K$80)</f>
        <v>12917932501.32333</v>
      </c>
      <c r="J9" s="63">
        <f>SUMPRODUCT(Step1_Features!I$4:I$80,Step1_Features!L$4:L$80)</f>
        <v>-18809254128.76775</v>
      </c>
      <c r="K9" s="63">
        <f>SUMPRODUCT(Step1_Features!I$4:I$80,Step1_Features!M$4:M$80)</f>
        <v>64333891352.440437</v>
      </c>
      <c r="L9" s="63">
        <f>SUMPRODUCT(Step1_Features!I$4:I$80,Step1_Features!N$4:N$80)</f>
        <v>875780423003.92078</v>
      </c>
      <c r="M9" s="63">
        <f>SUMPRODUCT(Step1_Features!I$4:I$80,Step1_Features!O$4:O$80)</f>
        <v>-744132557514.75073</v>
      </c>
      <c r="N9" s="63">
        <f>SUMPRODUCT(Step1_Features!I$4:I$80,Step1_Features!P$4:P$80)</f>
        <v>875780423003.92053</v>
      </c>
      <c r="O9" s="63">
        <f>SUMPRODUCT(Step1_Features!I$4:I$80,Step1_Features!Q$4:Q$80)</f>
        <v>-1434838794621.1389</v>
      </c>
      <c r="P9" s="63">
        <f>SUMPRODUCT(Step1_Features!I$4:I$80,Step1_Features!R$4:R$80)</f>
        <v>5546609247696.0527</v>
      </c>
    </row>
    <row r="10" spans="1:17" s="62" customFormat="1" ht="15" customHeight="1" x14ac:dyDescent="0.25">
      <c r="A10" s="59" t="s">
        <v>41</v>
      </c>
      <c r="B10" s="61">
        <f>SUMPRODUCT(Step1_Features!J$4:J$80,Step1_Features!D$4:D$80)</f>
        <v>-10013124.789595528</v>
      </c>
      <c r="C10" s="61">
        <f>SUMPRODUCT(Step1_Features!J$4:J$80,Step1_Features!E$4:E$80)</f>
        <v>778129395.38952553</v>
      </c>
      <c r="D10" s="61">
        <f>SUMPRODUCT(Step1_Features!J$4:J$80,Step1_Features!F$4:F$80)</f>
        <v>-264001678.45402309</v>
      </c>
      <c r="E10" s="61">
        <f>SUMPRODUCT(Step1_Features!J$4:J$80,Step1_Features!G$4:G$80)</f>
        <v>-64333891352.440445</v>
      </c>
      <c r="F10" s="61">
        <f>SUMPRODUCT(Step1_Features!J$4:J$80,Step1_Features!H$4:H$80)</f>
        <v>18809254128.767746</v>
      </c>
      <c r="G10" s="61">
        <f>SUMPRODUCT(Step1_Features!J$4:J$80,Step1_Features!I$4:I$80)</f>
        <v>-12917932501.323332</v>
      </c>
      <c r="H10" s="60">
        <f>SUMPRODUCT(Step1_Features!J$4:J$80,Step1_Features!J$4:J$80)</f>
        <v>5546609247696.0527</v>
      </c>
      <c r="I10" s="61">
        <f>SUMPRODUCT(Step1_Features!J$4:J$80,Step1_Features!K$4:K$80)</f>
        <v>-1434838794621.1389</v>
      </c>
      <c r="J10" s="61">
        <f>SUMPRODUCT(Step1_Features!J$4:J$80,Step1_Features!L$4:L$80)</f>
        <v>875780423003.92065</v>
      </c>
      <c r="K10" s="61">
        <f>SUMPRODUCT(Step1_Features!J$4:J$80,Step1_Features!M$4:M$80)</f>
        <v>-744132557514.75061</v>
      </c>
      <c r="L10" s="61">
        <f>SUMPRODUCT(Step1_Features!J$4:J$80,Step1_Features!N$4:N$80)</f>
        <v>-492839742553172.63</v>
      </c>
      <c r="M10" s="61">
        <f>SUMPRODUCT(Step1_Features!J$4:J$80,Step1_Features!O$4:O$80)</f>
        <v>114832939480114.83</v>
      </c>
      <c r="N10" s="61">
        <f>SUMPRODUCT(Step1_Features!J$4:J$80,Step1_Features!P$4:P$80)</f>
        <v>-63854166014521</v>
      </c>
      <c r="O10" s="61">
        <f>SUMPRODUCT(Step1_Features!J$4:J$80,Step1_Features!Q$4:Q$80)</f>
        <v>47927264123413.719</v>
      </c>
      <c r="P10" s="61">
        <f>SUMPRODUCT(Step1_Features!J$4:J$80,Step1_Features!R$4:R$80)</f>
        <v>-47927264123413.727</v>
      </c>
    </row>
    <row r="11" spans="1:17" s="62" customFormat="1" ht="15" customHeight="1" x14ac:dyDescent="0.25">
      <c r="A11" s="59" t="s">
        <v>42</v>
      </c>
      <c r="B11" s="63">
        <f>SUMPRODUCT(Step1_Features!K$4:K$80,Step1_Features!D$4:D$80)</f>
        <v>4112372.5225680848</v>
      </c>
      <c r="C11" s="63">
        <f>SUMPRODUCT(Step1_Features!K$4:K$80,Step1_Features!E$4:E$80)</f>
        <v>-264001678.45402309</v>
      </c>
      <c r="D11" s="63">
        <f>SUMPRODUCT(Step1_Features!K$4:K$80,Step1_Features!F$4:F$80)</f>
        <v>212217109.93177158</v>
      </c>
      <c r="E11" s="63">
        <f>SUMPRODUCT(Step1_Features!K$4:K$80,Step1_Features!G$4:G$80)</f>
        <v>18809254128.76775</v>
      </c>
      <c r="F11" s="63">
        <f>SUMPRODUCT(Step1_Features!K$4:K$80,Step1_Features!H$4:H$80)</f>
        <v>-12917932501.323334</v>
      </c>
      <c r="G11" s="63">
        <f>SUMPRODUCT(Step1_Features!K$4:K$80,Step1_Features!I$4:I$80)</f>
        <v>12917932501.32333</v>
      </c>
      <c r="H11" s="63">
        <f>SUMPRODUCT(Step1_Features!K$4:K$80,Step1_Features!J$4:J$80)</f>
        <v>-1434838794621.1389</v>
      </c>
      <c r="I11" s="60">
        <f>SUMPRODUCT(Step1_Features!K$4:K$80,Step1_Features!K$4:K$80)</f>
        <v>875780423003.92078</v>
      </c>
      <c r="J11" s="63">
        <f>SUMPRODUCT(Step1_Features!K$4:K$80,Step1_Features!L$4:L$80)</f>
        <v>-744132557514.75073</v>
      </c>
      <c r="K11" s="63">
        <f>SUMPRODUCT(Step1_Features!K$4:K$80,Step1_Features!M$4:M$80)</f>
        <v>875780423003.92053</v>
      </c>
      <c r="L11" s="63">
        <f>SUMPRODUCT(Step1_Features!K$4:K$80,Step1_Features!N$4:N$80)</f>
        <v>114832939480114.84</v>
      </c>
      <c r="M11" s="63">
        <f>SUMPRODUCT(Step1_Features!K$4:K$80,Step1_Features!O$4:O$80)</f>
        <v>-63854166014521</v>
      </c>
      <c r="N11" s="63">
        <f>SUMPRODUCT(Step1_Features!K$4:K$80,Step1_Features!P$4:P$80)</f>
        <v>47927264123413.727</v>
      </c>
      <c r="O11" s="63">
        <f>SUMPRODUCT(Step1_Features!K$4:K$80,Step1_Features!Q$4:Q$80)</f>
        <v>-47927264123413.727</v>
      </c>
      <c r="P11" s="63">
        <f>SUMPRODUCT(Step1_Features!K$4:K$80,Step1_Features!R$4:R$80)</f>
        <v>63854166014521.016</v>
      </c>
    </row>
    <row r="12" spans="1:17" s="62" customFormat="1" ht="15" customHeight="1" x14ac:dyDescent="0.25">
      <c r="A12" s="59" t="s">
        <v>43</v>
      </c>
      <c r="B12" s="61">
        <f>SUMPRODUCT(Step1_Features!L$4:L$80,Step1_Features!D$4:D$80)</f>
        <v>-4112372.5225680852</v>
      </c>
      <c r="C12" s="61">
        <f>SUMPRODUCT(Step1_Features!L$4:L$80,Step1_Features!E$4:E$80)</f>
        <v>212217109.93177155</v>
      </c>
      <c r="D12" s="61">
        <f>SUMPRODUCT(Step1_Features!L$4:L$80,Step1_Features!F$4:F$80)</f>
        <v>-264001678.45402309</v>
      </c>
      <c r="E12" s="61">
        <f>SUMPRODUCT(Step1_Features!L$4:L$80,Step1_Features!G$4:G$80)</f>
        <v>-12917932501.323334</v>
      </c>
      <c r="F12" s="61">
        <f>SUMPRODUCT(Step1_Features!L$4:L$80,Step1_Features!H$4:H$80)</f>
        <v>12917932501.32333</v>
      </c>
      <c r="G12" s="61">
        <f>SUMPRODUCT(Step1_Features!L$4:L$80,Step1_Features!I$4:I$80)</f>
        <v>-18809254128.76775</v>
      </c>
      <c r="H12" s="61">
        <f>SUMPRODUCT(Step1_Features!L$4:L$80,Step1_Features!J$4:J$80)</f>
        <v>875780423003.92065</v>
      </c>
      <c r="I12" s="61">
        <f>SUMPRODUCT(Step1_Features!L$4:L$80,Step1_Features!K$4:K$80)</f>
        <v>-744132557514.75073</v>
      </c>
      <c r="J12" s="60">
        <f>SUMPRODUCT(Step1_Features!L$4:L$80,Step1_Features!L$4:L$80)</f>
        <v>875780423003.92065</v>
      </c>
      <c r="K12" s="61">
        <f>SUMPRODUCT(Step1_Features!L$4:L$80,Step1_Features!M$4:M$80)</f>
        <v>-1434838794621.1389</v>
      </c>
      <c r="L12" s="61">
        <f>SUMPRODUCT(Step1_Features!L$4:L$80,Step1_Features!N$4:N$80)</f>
        <v>-63854166014521.008</v>
      </c>
      <c r="M12" s="61">
        <f>SUMPRODUCT(Step1_Features!L$4:L$80,Step1_Features!O$4:O$80)</f>
        <v>47927264123413.719</v>
      </c>
      <c r="N12" s="61">
        <f>SUMPRODUCT(Step1_Features!L$4:L$80,Step1_Features!P$4:P$80)</f>
        <v>-47927264123413.734</v>
      </c>
      <c r="O12" s="61">
        <f>SUMPRODUCT(Step1_Features!L$4:L$80,Step1_Features!Q$4:Q$80)</f>
        <v>63854166014521.008</v>
      </c>
      <c r="P12" s="61">
        <f>SUMPRODUCT(Step1_Features!L$4:L$80,Step1_Features!R$4:R$80)</f>
        <v>-114832939480114.83</v>
      </c>
    </row>
    <row r="13" spans="1:17" s="62" customFormat="1" ht="15" customHeight="1" x14ac:dyDescent="0.25">
      <c r="A13" s="59" t="s">
        <v>44</v>
      </c>
      <c r="B13" s="63">
        <f>SUMPRODUCT(Step1_Features!M$4:M$80,Step1_Features!D$4:D$80)</f>
        <v>10013124.789595528</v>
      </c>
      <c r="C13" s="63">
        <f>SUMPRODUCT(Step1_Features!M$4:M$80,Step1_Features!E$4:E$80)</f>
        <v>-264001678.45402309</v>
      </c>
      <c r="D13" s="63">
        <f>SUMPRODUCT(Step1_Features!M$4:M$80,Step1_Features!F$4:F$80)</f>
        <v>778129395.38952553</v>
      </c>
      <c r="E13" s="63">
        <f>SUMPRODUCT(Step1_Features!M$4:M$80,Step1_Features!G$4:G$80)</f>
        <v>12917932501.32333</v>
      </c>
      <c r="F13" s="63">
        <f>SUMPRODUCT(Step1_Features!M$4:M$80,Step1_Features!H$4:H$80)</f>
        <v>-18809254128.76775</v>
      </c>
      <c r="G13" s="63">
        <f>SUMPRODUCT(Step1_Features!M$4:M$80,Step1_Features!I$4:I$80)</f>
        <v>64333891352.440437</v>
      </c>
      <c r="H13" s="63">
        <f>SUMPRODUCT(Step1_Features!M$4:M$80,Step1_Features!J$4:J$80)</f>
        <v>-744132557514.75061</v>
      </c>
      <c r="I13" s="63">
        <f>SUMPRODUCT(Step1_Features!M$4:M$80,Step1_Features!K$4:K$80)</f>
        <v>875780423003.92053</v>
      </c>
      <c r="J13" s="63">
        <f>SUMPRODUCT(Step1_Features!M$4:M$80,Step1_Features!L$4:L$80)</f>
        <v>-1434838794621.1389</v>
      </c>
      <c r="K13" s="60">
        <f>SUMPRODUCT(Step1_Features!M$4:M$80,Step1_Features!M$4:M$80)</f>
        <v>5546609247696.0527</v>
      </c>
      <c r="L13" s="63">
        <f>SUMPRODUCT(Step1_Features!M$4:M$80,Step1_Features!N$4:N$80)</f>
        <v>47927264123413.727</v>
      </c>
      <c r="M13" s="63">
        <f>SUMPRODUCT(Step1_Features!M$4:M$80,Step1_Features!O$4:O$80)</f>
        <v>-47927264123413.727</v>
      </c>
      <c r="N13" s="63">
        <f>SUMPRODUCT(Step1_Features!M$4:M$80,Step1_Features!P$4:P$80)</f>
        <v>63854166014521.016</v>
      </c>
      <c r="O13" s="63">
        <f>SUMPRODUCT(Step1_Features!M$4:M$80,Step1_Features!Q$4:Q$80)</f>
        <v>-114832939480114.81</v>
      </c>
      <c r="P13" s="63">
        <f>SUMPRODUCT(Step1_Features!M$4:M$80,Step1_Features!R$4:R$80)</f>
        <v>492839742553172.63</v>
      </c>
    </row>
    <row r="14" spans="1:17" s="62" customFormat="1" ht="15" customHeight="1" x14ac:dyDescent="0.25">
      <c r="A14" s="59" t="s">
        <v>45</v>
      </c>
      <c r="B14" s="61">
        <f>SUMPRODUCT(Step1_Features!N$4:N$80,Step1_Features!D$4:D$80)</f>
        <v>778129395.38952565</v>
      </c>
      <c r="C14" s="61">
        <f>SUMPRODUCT(Step1_Features!N$4:N$80,Step1_Features!E$4:E$80)</f>
        <v>-64333891352.440445</v>
      </c>
      <c r="D14" s="61">
        <f>SUMPRODUCT(Step1_Features!N$4:N$80,Step1_Features!F$4:F$80)</f>
        <v>18809254128.76775</v>
      </c>
      <c r="E14" s="61">
        <f>SUMPRODUCT(Step1_Features!N$4:N$80,Step1_Features!G$4:G$80)</f>
        <v>5546609247696.0527</v>
      </c>
      <c r="F14" s="61">
        <f>SUMPRODUCT(Step1_Features!N$4:N$80,Step1_Features!H$4:H$80)</f>
        <v>-1434838794621.1389</v>
      </c>
      <c r="G14" s="61">
        <f>SUMPRODUCT(Step1_Features!N$4:N$80,Step1_Features!I$4:I$80)</f>
        <v>875780423003.92078</v>
      </c>
      <c r="H14" s="61">
        <f>SUMPRODUCT(Step1_Features!N$4:N$80,Step1_Features!J$4:J$80)</f>
        <v>-492839742553172.63</v>
      </c>
      <c r="I14" s="61">
        <f>SUMPRODUCT(Step1_Features!N$4:N$80,Step1_Features!K$4:K$80)</f>
        <v>114832939480114.84</v>
      </c>
      <c r="J14" s="61">
        <f>SUMPRODUCT(Step1_Features!N$4:N$80,Step1_Features!L$4:L$80)</f>
        <v>-63854166014521.008</v>
      </c>
      <c r="K14" s="61">
        <f>SUMPRODUCT(Step1_Features!N$4:N$80,Step1_Features!M$4:M$80)</f>
        <v>47927264123413.727</v>
      </c>
      <c r="L14" s="60">
        <f>SUMPRODUCT(Step1_Features!N$4:N$80,Step1_Features!N$4:N$80)</f>
        <v>4.4793995171586984E+16</v>
      </c>
      <c r="M14" s="61">
        <f>SUMPRODUCT(Step1_Features!N$4:N$80,Step1_Features!O$4:O$80)</f>
        <v>-9522600532761366</v>
      </c>
      <c r="N14" s="61">
        <f>SUMPRODUCT(Step1_Features!N$4:N$80,Step1_Features!P$4:P$80)</f>
        <v>4904452155323768</v>
      </c>
      <c r="O14" s="61">
        <f>SUMPRODUCT(Step1_Features!N$4:N$80,Step1_Features!Q$4:Q$80)</f>
        <v>-3333769457396562.5</v>
      </c>
      <c r="P14" s="61">
        <f>SUMPRODUCT(Step1_Features!N$4:N$80,Step1_Features!R$4:R$80)</f>
        <v>2942671303362578.5</v>
      </c>
    </row>
    <row r="15" spans="1:17" s="62" customFormat="1" ht="15" customHeight="1" x14ac:dyDescent="0.25">
      <c r="A15" s="59" t="s">
        <v>46</v>
      </c>
      <c r="B15" s="63">
        <f>SUMPRODUCT(Step1_Features!O$4:O$80,Step1_Features!D$4:D$80)</f>
        <v>-264001678.45402309</v>
      </c>
      <c r="C15" s="63">
        <f>SUMPRODUCT(Step1_Features!O$4:O$80,Step1_Features!E$4:E$80)</f>
        <v>18809254128.767746</v>
      </c>
      <c r="D15" s="63">
        <f>SUMPRODUCT(Step1_Features!O$4:O$80,Step1_Features!F$4:F$80)</f>
        <v>-12917932501.323332</v>
      </c>
      <c r="E15" s="63">
        <f>SUMPRODUCT(Step1_Features!O$4:O$80,Step1_Features!G$4:G$80)</f>
        <v>-1434838794621.1387</v>
      </c>
      <c r="F15" s="63">
        <f>SUMPRODUCT(Step1_Features!O$4:O$80,Step1_Features!H$4:H$80)</f>
        <v>875780423003.92065</v>
      </c>
      <c r="G15" s="63">
        <f>SUMPRODUCT(Step1_Features!O$4:O$80,Step1_Features!I$4:I$80)</f>
        <v>-744132557514.75073</v>
      </c>
      <c r="H15" s="63">
        <f>SUMPRODUCT(Step1_Features!O$4:O$80,Step1_Features!J$4:J$80)</f>
        <v>114832939480114.83</v>
      </c>
      <c r="I15" s="63">
        <f>SUMPRODUCT(Step1_Features!O$4:O$80,Step1_Features!K$4:K$80)</f>
        <v>-63854166014521</v>
      </c>
      <c r="J15" s="63">
        <f>SUMPRODUCT(Step1_Features!O$4:O$80,Step1_Features!L$4:L$80)</f>
        <v>47927264123413.719</v>
      </c>
      <c r="K15" s="63">
        <f>SUMPRODUCT(Step1_Features!O$4:O$80,Step1_Features!M$4:M$80)</f>
        <v>-47927264123413.727</v>
      </c>
      <c r="L15" s="63">
        <f>SUMPRODUCT(Step1_Features!O$4:O$80,Step1_Features!N$4:N$80)</f>
        <v>-9522600532761366</v>
      </c>
      <c r="M15" s="60">
        <f>SUMPRODUCT(Step1_Features!O$4:O$80,Step1_Features!O$4:O$80)</f>
        <v>4904452155323768</v>
      </c>
      <c r="N15" s="63">
        <f>SUMPRODUCT(Step1_Features!O$4:O$80,Step1_Features!P$4:P$80)</f>
        <v>-3333769457396562.5</v>
      </c>
      <c r="O15" s="63">
        <f>SUMPRODUCT(Step1_Features!O$4:O$80,Step1_Features!Q$4:Q$80)</f>
        <v>2942671303362578</v>
      </c>
      <c r="P15" s="63">
        <f>SUMPRODUCT(Step1_Features!O$4:O$80,Step1_Features!R$4:R$80)</f>
        <v>-3333769457396562</v>
      </c>
    </row>
    <row r="16" spans="1:17" s="62" customFormat="1" ht="15" customHeight="1" x14ac:dyDescent="0.25">
      <c r="A16" s="59" t="s">
        <v>47</v>
      </c>
      <c r="B16" s="61">
        <f>SUMPRODUCT(Step1_Features!P$4:P$80,Step1_Features!D$4:D$80)</f>
        <v>212217109.93177155</v>
      </c>
      <c r="C16" s="61">
        <f>SUMPRODUCT(Step1_Features!P$4:P$80,Step1_Features!E$4:E$80)</f>
        <v>-12917932501.323334</v>
      </c>
      <c r="D16" s="61">
        <f>SUMPRODUCT(Step1_Features!P$4:P$80,Step1_Features!F$4:F$80)</f>
        <v>12917932501.32333</v>
      </c>
      <c r="E16" s="61">
        <f>SUMPRODUCT(Step1_Features!P$4:P$80,Step1_Features!G$4:G$80)</f>
        <v>875780423003.92078</v>
      </c>
      <c r="F16" s="61">
        <f>SUMPRODUCT(Step1_Features!P$4:P$80,Step1_Features!H$4:H$80)</f>
        <v>-744132557514.75073</v>
      </c>
      <c r="G16" s="61">
        <f>SUMPRODUCT(Step1_Features!P$4:P$80,Step1_Features!I$4:I$80)</f>
        <v>875780423003.92053</v>
      </c>
      <c r="H16" s="61">
        <f>SUMPRODUCT(Step1_Features!P$4:P$80,Step1_Features!J$4:J$80)</f>
        <v>-63854166014521</v>
      </c>
      <c r="I16" s="61">
        <f>SUMPRODUCT(Step1_Features!P$4:P$80,Step1_Features!K$4:K$80)</f>
        <v>47927264123413.727</v>
      </c>
      <c r="J16" s="61">
        <f>SUMPRODUCT(Step1_Features!P$4:P$80,Step1_Features!L$4:L$80)</f>
        <v>-47927264123413.734</v>
      </c>
      <c r="K16" s="61">
        <f>SUMPRODUCT(Step1_Features!P$4:P$80,Step1_Features!M$4:M$80)</f>
        <v>63854166014521.016</v>
      </c>
      <c r="L16" s="61">
        <f>SUMPRODUCT(Step1_Features!P$4:P$80,Step1_Features!N$4:N$80)</f>
        <v>4904452155323768</v>
      </c>
      <c r="M16" s="61">
        <f>SUMPRODUCT(Step1_Features!P$4:P$80,Step1_Features!O$4:O$80)</f>
        <v>-3333769457396562.5</v>
      </c>
      <c r="N16" s="60">
        <f>SUMPRODUCT(Step1_Features!P$4:P$80,Step1_Features!P$4:P$80)</f>
        <v>2942671303362578</v>
      </c>
      <c r="O16" s="61">
        <f>SUMPRODUCT(Step1_Features!P$4:P$80,Step1_Features!Q$4:Q$80)</f>
        <v>-3333769457396562</v>
      </c>
      <c r="P16" s="61">
        <f>SUMPRODUCT(Step1_Features!P$4:P$80,Step1_Features!R$4:R$80)</f>
        <v>4904452155323768</v>
      </c>
    </row>
    <row r="17" spans="1:17" s="62" customFormat="1" ht="15" customHeight="1" x14ac:dyDescent="0.25">
      <c r="A17" s="59" t="s">
        <v>48</v>
      </c>
      <c r="B17" s="63">
        <f>SUMPRODUCT(Step1_Features!Q$4:Q$80,Step1_Features!D$4:D$80)</f>
        <v>-264001678.45402309</v>
      </c>
      <c r="C17" s="63">
        <f>SUMPRODUCT(Step1_Features!Q$4:Q$80,Step1_Features!E$4:E$80)</f>
        <v>12917932501.32333</v>
      </c>
      <c r="D17" s="63">
        <f>SUMPRODUCT(Step1_Features!Q$4:Q$80,Step1_Features!F$4:F$80)</f>
        <v>-18809254128.76775</v>
      </c>
      <c r="E17" s="63">
        <f>SUMPRODUCT(Step1_Features!Q$4:Q$80,Step1_Features!G$4:G$80)</f>
        <v>-744132557514.75061</v>
      </c>
      <c r="F17" s="63">
        <f>SUMPRODUCT(Step1_Features!Q$4:Q$80,Step1_Features!H$4:H$80)</f>
        <v>875780423003.92053</v>
      </c>
      <c r="G17" s="63">
        <f>SUMPRODUCT(Step1_Features!Q$4:Q$80,Step1_Features!I$4:I$80)</f>
        <v>-1434838794621.1389</v>
      </c>
      <c r="H17" s="63">
        <f>SUMPRODUCT(Step1_Features!Q$4:Q$80,Step1_Features!J$4:J$80)</f>
        <v>47927264123413.719</v>
      </c>
      <c r="I17" s="63">
        <f>SUMPRODUCT(Step1_Features!Q$4:Q$80,Step1_Features!K$4:K$80)</f>
        <v>-47927264123413.727</v>
      </c>
      <c r="J17" s="63">
        <f>SUMPRODUCT(Step1_Features!Q$4:Q$80,Step1_Features!L$4:L$80)</f>
        <v>63854166014521.008</v>
      </c>
      <c r="K17" s="63">
        <f>SUMPRODUCT(Step1_Features!Q$4:Q$80,Step1_Features!M$4:M$80)</f>
        <v>-114832939480114.81</v>
      </c>
      <c r="L17" s="63">
        <f>SUMPRODUCT(Step1_Features!Q$4:Q$80,Step1_Features!N$4:N$80)</f>
        <v>-3333769457396562.5</v>
      </c>
      <c r="M17" s="63">
        <f>SUMPRODUCT(Step1_Features!Q$4:Q$80,Step1_Features!O$4:O$80)</f>
        <v>2942671303362578</v>
      </c>
      <c r="N17" s="63">
        <f>SUMPRODUCT(Step1_Features!Q$4:Q$80,Step1_Features!P$4:P$80)</f>
        <v>-3333769457396562</v>
      </c>
      <c r="O17" s="60">
        <f>SUMPRODUCT(Step1_Features!Q$4:Q$80,Step1_Features!Q$4:Q$80)</f>
        <v>4904452155323768</v>
      </c>
      <c r="P17" s="63">
        <f>SUMPRODUCT(Step1_Features!Q$4:Q$80,Step1_Features!R$4:R$80)</f>
        <v>-9522600532761366</v>
      </c>
    </row>
    <row r="18" spans="1:17" s="62" customFormat="1" ht="15" customHeight="1" x14ac:dyDescent="0.25">
      <c r="A18" s="59" t="s">
        <v>49</v>
      </c>
      <c r="B18" s="61">
        <f>SUMPRODUCT(Step1_Features!R$4:R$80,Step1_Features!D$4:D$80)</f>
        <v>778129395.38952565</v>
      </c>
      <c r="C18" s="61">
        <f>SUMPRODUCT(Step1_Features!R$4:R$80,Step1_Features!E$4:E$80)</f>
        <v>-18809254128.76775</v>
      </c>
      <c r="D18" s="61">
        <f>SUMPRODUCT(Step1_Features!R$4:R$80,Step1_Features!F$4:F$80)</f>
        <v>64333891352.440437</v>
      </c>
      <c r="E18" s="61">
        <f>SUMPRODUCT(Step1_Features!R$4:R$80,Step1_Features!G$4:G$80)</f>
        <v>875780423003.92053</v>
      </c>
      <c r="F18" s="61">
        <f>SUMPRODUCT(Step1_Features!R$4:R$80,Step1_Features!H$4:H$80)</f>
        <v>-1434838794621.1389</v>
      </c>
      <c r="G18" s="61">
        <f>SUMPRODUCT(Step1_Features!R$4:R$80,Step1_Features!I$4:I$80)</f>
        <v>5546609247696.0527</v>
      </c>
      <c r="H18" s="61">
        <f>SUMPRODUCT(Step1_Features!R$4:R$80,Step1_Features!J$4:J$80)</f>
        <v>-47927264123413.727</v>
      </c>
      <c r="I18" s="61">
        <f>SUMPRODUCT(Step1_Features!R$4:R$80,Step1_Features!K$4:K$80)</f>
        <v>63854166014521.016</v>
      </c>
      <c r="J18" s="61">
        <f>SUMPRODUCT(Step1_Features!R$4:R$80,Step1_Features!L$4:L$80)</f>
        <v>-114832939480114.83</v>
      </c>
      <c r="K18" s="61">
        <f>SUMPRODUCT(Step1_Features!R$4:R$80,Step1_Features!M$4:M$80)</f>
        <v>492839742553172.63</v>
      </c>
      <c r="L18" s="61">
        <f>SUMPRODUCT(Step1_Features!R$4:R$80,Step1_Features!N$4:N$80)</f>
        <v>2942671303362578.5</v>
      </c>
      <c r="M18" s="61">
        <f>SUMPRODUCT(Step1_Features!R$4:R$80,Step1_Features!O$4:O$80)</f>
        <v>-3333769457396562</v>
      </c>
      <c r="N18" s="61">
        <f>SUMPRODUCT(Step1_Features!R$4:R$80,Step1_Features!P$4:P$80)</f>
        <v>4904452155323768</v>
      </c>
      <c r="O18" s="61">
        <f>SUMPRODUCT(Step1_Features!R$4:R$80,Step1_Features!Q$4:Q$80)</f>
        <v>-9522600532761366</v>
      </c>
      <c r="P18" s="60">
        <f>SUMPRODUCT(Step1_Features!R$4:R$80,Step1_Features!R$4:R$80)</f>
        <v>4.4793995171586992E+16</v>
      </c>
    </row>
    <row r="20" spans="1:17" ht="7.5" customHeight="1" x14ac:dyDescent="0.25"/>
    <row r="21" spans="1:17" ht="18" customHeight="1" x14ac:dyDescent="0.25">
      <c r="A21" s="6" t="s">
        <v>54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39.950000000000003" customHeight="1" x14ac:dyDescent="0.25">
      <c r="A22" s="13" t="s">
        <v>53</v>
      </c>
      <c r="B22" s="22" t="s">
        <v>55</v>
      </c>
      <c r="C22" s="64" t="s">
        <v>56</v>
      </c>
      <c r="D22" s="65"/>
    </row>
    <row r="23" spans="1:17" ht="24.95" customHeight="1" x14ac:dyDescent="0.25">
      <c r="A23" s="23" t="s">
        <v>35</v>
      </c>
      <c r="B23" s="24">
        <f>SUMPRODUCT(Step1_Features!D$4:D$80,Raw_Data!D$3:D$79)</f>
        <v>37807.932338999992</v>
      </c>
      <c r="C23" s="66" t="s">
        <v>57</v>
      </c>
      <c r="D23" s="67"/>
    </row>
    <row r="24" spans="1:17" ht="24.95" customHeight="1" x14ac:dyDescent="0.25">
      <c r="A24" s="23" t="s">
        <v>36</v>
      </c>
      <c r="B24" s="25">
        <f>SUMPRODUCT(Step1_Features!E$4:E$80,Raw_Data!D$3:D$79)</f>
        <v>-1197939.6418689315</v>
      </c>
      <c r="C24" s="68" t="s">
        <v>58</v>
      </c>
      <c r="D24" s="69"/>
    </row>
    <row r="25" spans="1:17" ht="24.95" customHeight="1" x14ac:dyDescent="0.25">
      <c r="A25" s="23" t="s">
        <v>37</v>
      </c>
      <c r="B25" s="24">
        <f>SUMPRODUCT(Step1_Features!F$4:F$80,Raw_Data!D$3:D$79)</f>
        <v>1166436.4957689473</v>
      </c>
      <c r="C25" s="66" t="s">
        <v>59</v>
      </c>
      <c r="D25" s="67"/>
    </row>
    <row r="26" spans="1:17" ht="24.95" customHeight="1" x14ac:dyDescent="0.25">
      <c r="A26" s="23" t="s">
        <v>38</v>
      </c>
      <c r="B26" s="25">
        <f>SUMPRODUCT(Step1_Features!G$4:G$80,Raw_Data!D$3:D$79)</f>
        <v>70233039.265205935</v>
      </c>
      <c r="C26" s="68" t="s">
        <v>60</v>
      </c>
      <c r="D26" s="69"/>
    </row>
    <row r="27" spans="1:17" ht="24.95" customHeight="1" x14ac:dyDescent="0.25">
      <c r="A27" s="23" t="s">
        <v>39</v>
      </c>
      <c r="B27" s="24">
        <f>SUMPRODUCT(Step1_Features!H$4:H$80,Raw_Data!D$3:D$79)</f>
        <v>-37021142.947133303</v>
      </c>
      <c r="C27" s="66" t="s">
        <v>61</v>
      </c>
      <c r="D27" s="67"/>
    </row>
    <row r="28" spans="1:17" ht="24.95" customHeight="1" x14ac:dyDescent="0.25">
      <c r="A28" s="23" t="s">
        <v>40</v>
      </c>
      <c r="B28" s="25">
        <f>SUMPRODUCT(Step1_Features!I$4:I$80,Raw_Data!D$3:D$79)</f>
        <v>67376973.428964972</v>
      </c>
      <c r="C28" s="68" t="s">
        <v>62</v>
      </c>
      <c r="D28" s="69"/>
    </row>
    <row r="29" spans="1:17" ht="24.95" customHeight="1" x14ac:dyDescent="0.25">
      <c r="A29" s="23" t="s">
        <v>41</v>
      </c>
      <c r="B29" s="24">
        <f>SUMPRODUCT(Step1_Features!J$4:J$80,Raw_Data!D$3:D$79)</f>
        <v>-4940124801.9924946</v>
      </c>
      <c r="C29" s="66" t="s">
        <v>63</v>
      </c>
      <c r="D29" s="67"/>
    </row>
    <row r="30" spans="1:17" ht="24.95" customHeight="1" x14ac:dyDescent="0.25">
      <c r="A30" s="23" t="s">
        <v>42</v>
      </c>
      <c r="B30" s="25">
        <f>SUMPRODUCT(Step1_Features!K$4:K$80,Raw_Data!D$3:D$79)</f>
        <v>2011198060.1236637</v>
      </c>
      <c r="C30" s="68" t="s">
        <v>64</v>
      </c>
      <c r="D30" s="69"/>
    </row>
    <row r="31" spans="1:17" ht="24.95" customHeight="1" x14ac:dyDescent="0.25">
      <c r="A31" s="23" t="s">
        <v>43</v>
      </c>
      <c r="B31" s="24">
        <f>SUMPRODUCT(Step1_Features!L$4:L$80,Raw_Data!D$3:D$79)</f>
        <v>-1989967219.6613886</v>
      </c>
      <c r="C31" s="66" t="s">
        <v>65</v>
      </c>
      <c r="D31" s="67"/>
    </row>
    <row r="32" spans="1:17" ht="24.95" customHeight="1" x14ac:dyDescent="0.25">
      <c r="A32" s="23" t="s">
        <v>44</v>
      </c>
      <c r="B32" s="25">
        <f>SUMPRODUCT(Step1_Features!M$4:M$80,Raw_Data!D$3:D$79)</f>
        <v>4685472353.1375608</v>
      </c>
      <c r="C32" s="68" t="s">
        <v>66</v>
      </c>
      <c r="D32" s="69"/>
    </row>
    <row r="33" spans="1:4" ht="24.95" customHeight="1" x14ac:dyDescent="0.25">
      <c r="A33" s="23" t="s">
        <v>45</v>
      </c>
      <c r="B33" s="24">
        <f>SUMPRODUCT(Step1_Features!N$4:N$80,Raw_Data!D$3:D$79)</f>
        <v>384000862545.66644</v>
      </c>
      <c r="C33" s="66" t="s">
        <v>67</v>
      </c>
      <c r="D33" s="67"/>
    </row>
    <row r="34" spans="1:4" ht="24.95" customHeight="1" x14ac:dyDescent="0.25">
      <c r="A34" s="23" t="s">
        <v>46</v>
      </c>
      <c r="B34" s="25">
        <f>SUMPRODUCT(Step1_Features!O$4:O$80,Raw_Data!D$3:D$79)</f>
        <v>-129385673676.72888</v>
      </c>
      <c r="C34" s="68" t="s">
        <v>68</v>
      </c>
      <c r="D34" s="69"/>
    </row>
    <row r="35" spans="1:4" ht="24.95" customHeight="1" x14ac:dyDescent="0.25">
      <c r="A35" s="23" t="s">
        <v>47</v>
      </c>
      <c r="B35" s="24">
        <f>SUMPRODUCT(Step1_Features!P$4:P$80,Raw_Data!D$3:D$79)</f>
        <v>103178421926.61963</v>
      </c>
      <c r="C35" s="66" t="s">
        <v>69</v>
      </c>
      <c r="D35" s="67"/>
    </row>
    <row r="36" spans="1:4" ht="24.95" customHeight="1" x14ac:dyDescent="0.25">
      <c r="A36" s="23" t="s">
        <v>48</v>
      </c>
      <c r="B36" s="25">
        <f>SUMPRODUCT(Step1_Features!Q$4:Q$80,Raw_Data!D$3:D$79)</f>
        <v>-126935848094.2984</v>
      </c>
      <c r="C36" s="68" t="s">
        <v>70</v>
      </c>
      <c r="D36" s="69"/>
    </row>
    <row r="37" spans="1:4" ht="24.95" customHeight="1" x14ac:dyDescent="0.25">
      <c r="A37" s="23" t="s">
        <v>49</v>
      </c>
      <c r="B37" s="24">
        <f>SUMPRODUCT(Step1_Features!R$4:R$80,Raw_Data!D$3:D$79)</f>
        <v>360977034171.20245</v>
      </c>
      <c r="C37" s="66" t="s">
        <v>71</v>
      </c>
      <c r="D37" s="67"/>
    </row>
  </sheetData>
  <mergeCells count="19">
    <mergeCell ref="C34:D34"/>
    <mergeCell ref="C35:D35"/>
    <mergeCell ref="C36:D36"/>
    <mergeCell ref="C37:D37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A1:Q1"/>
    <mergeCell ref="B2:P2"/>
    <mergeCell ref="A21:Q21"/>
    <mergeCell ref="C22:D22"/>
    <mergeCell ref="C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zoomScaleNormal="100" workbookViewId="0">
      <selection activeCell="G34" sqref="G34"/>
    </sheetView>
  </sheetViews>
  <sheetFormatPr defaultColWidth="8.7109375" defaultRowHeight="15" x14ac:dyDescent="0.25"/>
  <cols>
    <col min="1" max="1" width="4" customWidth="1"/>
    <col min="2" max="2" width="14" customWidth="1"/>
    <col min="3" max="3" width="18" customWidth="1"/>
    <col min="4" max="4" width="20" customWidth="1"/>
    <col min="5" max="5" width="38" customWidth="1"/>
    <col min="6" max="6" width="20" customWidth="1"/>
    <col min="7" max="7" width="18" customWidth="1"/>
  </cols>
  <sheetData>
    <row r="1" spans="1:7" ht="18" customHeight="1" x14ac:dyDescent="0.25">
      <c r="A1" s="6" t="s">
        <v>72</v>
      </c>
      <c r="B1" s="6"/>
      <c r="C1" s="6"/>
      <c r="D1" s="6"/>
      <c r="E1" s="6"/>
      <c r="F1" s="6"/>
      <c r="G1" s="6"/>
    </row>
    <row r="2" spans="1:7" ht="15.75" customHeight="1" x14ac:dyDescent="0.25">
      <c r="A2" s="4" t="s">
        <v>73</v>
      </c>
      <c r="B2" s="4"/>
      <c r="C2" s="4"/>
      <c r="D2" s="4"/>
      <c r="E2" s="4"/>
      <c r="F2" s="4"/>
      <c r="G2" s="4"/>
    </row>
    <row r="3" spans="1:7" ht="30" customHeight="1" x14ac:dyDescent="0.25">
      <c r="A3" s="22" t="s">
        <v>74</v>
      </c>
      <c r="B3" s="22" t="s">
        <v>53</v>
      </c>
      <c r="C3" s="22" t="s">
        <v>75</v>
      </c>
      <c r="D3" s="22" t="s">
        <v>76</v>
      </c>
      <c r="E3" s="22" t="s">
        <v>77</v>
      </c>
      <c r="F3" s="22" t="s">
        <v>78</v>
      </c>
      <c r="G3" s="22" t="s">
        <v>79</v>
      </c>
    </row>
    <row r="4" spans="1:7" ht="15" customHeight="1" x14ac:dyDescent="0.25">
      <c r="A4" s="27">
        <v>0</v>
      </c>
      <c r="B4" s="23" t="s">
        <v>35</v>
      </c>
      <c r="C4" s="28" t="s">
        <v>80</v>
      </c>
      <c r="D4" s="29">
        <f>INDEX(MMULT(MINVERSE(Step2_Ld_XtX!$B$4:$P$18),Step2_Ld_XtX!$B$23:$B$37),1,1)</f>
        <v>500.41550710581578</v>
      </c>
      <c r="E4" s="26" t="s">
        <v>81</v>
      </c>
      <c r="F4" s="71">
        <f>1</f>
        <v>1</v>
      </c>
      <c r="G4" s="21">
        <f t="shared" ref="G4:G18" si="0">D4*F4</f>
        <v>500.41550710581578</v>
      </c>
    </row>
    <row r="5" spans="1:7" ht="15" customHeight="1" x14ac:dyDescent="0.25">
      <c r="A5" s="16">
        <v>1</v>
      </c>
      <c r="B5" s="23" t="s">
        <v>36</v>
      </c>
      <c r="C5" s="30" t="s">
        <v>82</v>
      </c>
      <c r="D5" s="31">
        <f>INDEX(MMULT(MINVERSE(Step2_Ld_XtX!$B$4:$P$18),Step2_Ld_XtX!$B$23:$B$37),2,1)</f>
        <v>-0.17118854126601946</v>
      </c>
      <c r="E5" s="10" t="s">
        <v>83</v>
      </c>
      <c r="F5" s="72">
        <f>-30</f>
        <v>-30</v>
      </c>
      <c r="G5" s="17">
        <f t="shared" si="0"/>
        <v>5.1356562379805837</v>
      </c>
    </row>
    <row r="6" spans="1:7" ht="15" customHeight="1" x14ac:dyDescent="0.25">
      <c r="A6" s="27">
        <v>2</v>
      </c>
      <c r="B6" s="23" t="s">
        <v>37</v>
      </c>
      <c r="C6" s="28" t="s">
        <v>84</v>
      </c>
      <c r="D6" s="29">
        <f>INDEX(MMULT(MINVERSE(Step2_Ld_XtX!$B$4:$P$18),Step2_Ld_XtX!$B$23:$B$37),3,1)</f>
        <v>7.8991779806074192E-2</v>
      </c>
      <c r="E6" s="26" t="s">
        <v>85</v>
      </c>
      <c r="F6" s="71">
        <f>20</f>
        <v>20</v>
      </c>
      <c r="G6" s="21">
        <f t="shared" si="0"/>
        <v>1.5798355961214838</v>
      </c>
    </row>
    <row r="7" spans="1:7" ht="15" customHeight="1" x14ac:dyDescent="0.25">
      <c r="A7" s="16">
        <v>3</v>
      </c>
      <c r="B7" s="23" t="s">
        <v>38</v>
      </c>
      <c r="C7" s="30" t="s">
        <v>86</v>
      </c>
      <c r="D7" s="31">
        <f>INDEX(MMULT(MINVERSE(Step2_Ld_XtX!$B$4:$P$18),Step2_Ld_XtX!$B$23:$B$37),4,1)</f>
        <v>-7.9838517036918688E-3</v>
      </c>
      <c r="E7" s="10" t="s">
        <v>87</v>
      </c>
      <c r="F7" s="72">
        <f>(-30)^2</f>
        <v>900</v>
      </c>
      <c r="G7" s="17">
        <f t="shared" si="0"/>
        <v>-7.1854665333226819</v>
      </c>
    </row>
    <row r="8" spans="1:7" ht="15" customHeight="1" x14ac:dyDescent="0.25">
      <c r="A8" s="27">
        <v>4</v>
      </c>
      <c r="B8" s="23" t="s">
        <v>39</v>
      </c>
      <c r="C8" s="28" t="s">
        <v>88</v>
      </c>
      <c r="D8" s="29">
        <f>INDEX(MMULT(MINVERSE(Step2_Ld_XtX!$B$4:$P$18),Step2_Ld_XtX!$B$23:$B$37),5,1)</f>
        <v>-7.8011760940093211E-3</v>
      </c>
      <c r="E8" s="26" t="s">
        <v>89</v>
      </c>
      <c r="F8" s="71">
        <f>(-30)*20</f>
        <v>-600</v>
      </c>
      <c r="G8" s="21">
        <f t="shared" si="0"/>
        <v>4.6807056564055927</v>
      </c>
    </row>
    <row r="9" spans="1:7" ht="15" customHeight="1" x14ac:dyDescent="0.25">
      <c r="A9" s="16">
        <v>5</v>
      </c>
      <c r="B9" s="23" t="s">
        <v>40</v>
      </c>
      <c r="C9" s="30" t="s">
        <v>90</v>
      </c>
      <c r="D9" s="31">
        <f>INDEX(MMULT(MINVERSE(Step2_Ld_XtX!$B$4:$P$18),Step2_Ld_XtX!$B$23:$B$37),6,1)</f>
        <v>-1.8291944591595666E-2</v>
      </c>
      <c r="E9" s="10" t="s">
        <v>91</v>
      </c>
      <c r="F9" s="72">
        <f>20^2</f>
        <v>400</v>
      </c>
      <c r="G9" s="17">
        <f t="shared" si="0"/>
        <v>-7.3167778366382663</v>
      </c>
    </row>
    <row r="10" spans="1:7" ht="15" customHeight="1" x14ac:dyDescent="0.25">
      <c r="A10" s="27">
        <v>6</v>
      </c>
      <c r="B10" s="23" t="s">
        <v>41</v>
      </c>
      <c r="C10" s="28" t="s">
        <v>92</v>
      </c>
      <c r="D10" s="29">
        <f>INDEX(MMULT(MINVERSE(Step2_Ld_XtX!$B$4:$P$18),Step2_Ld_XtX!$B$23:$B$37),7,1)</f>
        <v>-9.3273656967096663E-5</v>
      </c>
      <c r="E10" s="26" t="s">
        <v>93</v>
      </c>
      <c r="F10" s="71">
        <f>(-30)^3</f>
        <v>-27000</v>
      </c>
      <c r="G10" s="21">
        <f t="shared" si="0"/>
        <v>2.5183887381116099</v>
      </c>
    </row>
    <row r="11" spans="1:7" ht="15" customHeight="1" x14ac:dyDescent="0.25">
      <c r="A11" s="16">
        <v>7</v>
      </c>
      <c r="B11" s="23" t="s">
        <v>42</v>
      </c>
      <c r="C11" s="30" t="s">
        <v>94</v>
      </c>
      <c r="D11" s="31">
        <f>INDEX(MMULT(MINVERSE(Step2_Ld_XtX!$B$4:$P$18),Step2_Ld_XtX!$B$23:$B$37),8,1)</f>
        <v>-1.4440794345199626E-4</v>
      </c>
      <c r="E11" s="10" t="s">
        <v>95</v>
      </c>
      <c r="F11" s="72">
        <f>(-30)^2*20</f>
        <v>18000</v>
      </c>
      <c r="G11" s="17">
        <f t="shared" si="0"/>
        <v>-2.5993429821359326</v>
      </c>
    </row>
    <row r="12" spans="1:7" ht="15" customHeight="1" x14ac:dyDescent="0.25">
      <c r="A12" s="27">
        <v>8</v>
      </c>
      <c r="B12" s="23" t="s">
        <v>43</v>
      </c>
      <c r="C12" s="28" t="s">
        <v>96</v>
      </c>
      <c r="D12" s="29">
        <f>INDEX(MMULT(MINVERSE(Step2_Ld_XtX!$B$4:$P$18),Step2_Ld_XtX!$B$23:$B$37),9,1)</f>
        <v>-1.2093610072283489E-4</v>
      </c>
      <c r="E12" s="26" t="s">
        <v>97</v>
      </c>
      <c r="F12" s="71">
        <f>(-30)*20^2</f>
        <v>-12000</v>
      </c>
      <c r="G12" s="21">
        <f t="shared" si="0"/>
        <v>1.4512332086740187</v>
      </c>
    </row>
    <row r="13" spans="1:7" ht="15" customHeight="1" x14ac:dyDescent="0.25">
      <c r="A13" s="16">
        <v>9</v>
      </c>
      <c r="B13" s="23" t="s">
        <v>44</v>
      </c>
      <c r="C13" s="30" t="s">
        <v>98</v>
      </c>
      <c r="D13" s="31">
        <f>INDEX(MMULT(MINVERSE(Step2_Ld_XtX!$B$4:$P$18),Step2_Ld_XtX!$B$23:$B$37),10,1)</f>
        <v>2.0428916511905371E-4</v>
      </c>
      <c r="E13" s="10" t="s">
        <v>99</v>
      </c>
      <c r="F13" s="72">
        <f>20^3</f>
        <v>8000</v>
      </c>
      <c r="G13" s="17">
        <f t="shared" si="0"/>
        <v>1.6343133209524296</v>
      </c>
    </row>
    <row r="14" spans="1:7" ht="15" customHeight="1" x14ac:dyDescent="0.25">
      <c r="A14" s="27">
        <v>10</v>
      </c>
      <c r="B14" s="23" t="s">
        <v>45</v>
      </c>
      <c r="C14" s="28" t="s">
        <v>100</v>
      </c>
      <c r="D14" s="29">
        <f>INDEX(MMULT(MINVERSE(Step2_Ld_XtX!$B$4:$P$18),Step2_Ld_XtX!$B$23:$B$37),11,1)</f>
        <v>-3.6270831663695949E-7</v>
      </c>
      <c r="E14" s="26" t="s">
        <v>101</v>
      </c>
      <c r="F14" s="71">
        <f>(-30)^4</f>
        <v>810000</v>
      </c>
      <c r="G14" s="21">
        <f t="shared" si="0"/>
        <v>-0.29379373647593721</v>
      </c>
    </row>
    <row r="15" spans="1:7" ht="15" customHeight="1" x14ac:dyDescent="0.25">
      <c r="A15" s="16">
        <v>11</v>
      </c>
      <c r="B15" s="23" t="s">
        <v>46</v>
      </c>
      <c r="C15" s="30" t="s">
        <v>102</v>
      </c>
      <c r="D15" s="31">
        <f>INDEX(MMULT(MINVERSE(Step2_Ld_XtX!$B$4:$P$18),Step2_Ld_XtX!$B$23:$B$37),12,1)</f>
        <v>-5.7514287666801667E-7</v>
      </c>
      <c r="E15" s="10" t="s">
        <v>103</v>
      </c>
      <c r="F15" s="72">
        <f>(-30)^3*20</f>
        <v>-540000</v>
      </c>
      <c r="G15" s="17">
        <f t="shared" si="0"/>
        <v>0.310577153400729</v>
      </c>
    </row>
    <row r="16" spans="1:7" ht="15" customHeight="1" x14ac:dyDescent="0.25">
      <c r="A16" s="27">
        <v>12</v>
      </c>
      <c r="B16" s="23" t="s">
        <v>47</v>
      </c>
      <c r="C16" s="28" t="s">
        <v>104</v>
      </c>
      <c r="D16" s="29">
        <f>INDEX(MMULT(MINVERSE(Step2_Ld_XtX!$B$4:$P$18),Step2_Ld_XtX!$B$23:$B$37),13,1)</f>
        <v>1.3937826203575497E-7</v>
      </c>
      <c r="E16" s="26" t="s">
        <v>105</v>
      </c>
      <c r="F16" s="71">
        <f>(-30)^2*20^2</f>
        <v>360000</v>
      </c>
      <c r="G16" s="21">
        <f t="shared" si="0"/>
        <v>5.017617433287179E-2</v>
      </c>
    </row>
    <row r="17" spans="1:7" ht="15" customHeight="1" x14ac:dyDescent="0.25">
      <c r="A17" s="16">
        <v>13</v>
      </c>
      <c r="B17" s="23" t="s">
        <v>48</v>
      </c>
      <c r="C17" s="30" t="s">
        <v>106</v>
      </c>
      <c r="D17" s="31">
        <f>INDEX(MMULT(MINVERSE(Step2_Ld_XtX!$B$4:$P$18),Step2_Ld_XtX!$B$23:$B$37),14,1)</f>
        <v>8.3138154947058618E-7</v>
      </c>
      <c r="E17" s="10" t="s">
        <v>107</v>
      </c>
      <c r="F17" s="72">
        <f>(-30)*20^3</f>
        <v>-240000</v>
      </c>
      <c r="G17" s="17">
        <f t="shared" si="0"/>
        <v>-0.19953157187294068</v>
      </c>
    </row>
    <row r="18" spans="1:7" ht="15" customHeight="1" x14ac:dyDescent="0.25">
      <c r="A18" s="27">
        <v>14</v>
      </c>
      <c r="B18" s="23" t="s">
        <v>49</v>
      </c>
      <c r="C18" s="28" t="s">
        <v>108</v>
      </c>
      <c r="D18" s="29">
        <f>INDEX(MMULT(MINVERSE(Step2_Ld_XtX!$B$4:$P$18),Step2_Ld_XtX!$B$23:$B$37),15,1)</f>
        <v>-9.5751921586409439E-7</v>
      </c>
      <c r="E18" s="26" t="s">
        <v>109</v>
      </c>
      <c r="F18" s="71">
        <f>20^4</f>
        <v>160000</v>
      </c>
      <c r="G18" s="21">
        <f t="shared" si="0"/>
        <v>-0.1532030745382551</v>
      </c>
    </row>
    <row r="19" spans="1:7" ht="15" customHeight="1" x14ac:dyDescent="0.25">
      <c r="A19" s="32"/>
      <c r="B19" s="33" t="s">
        <v>110</v>
      </c>
      <c r="C19" s="32"/>
      <c r="D19" s="32"/>
      <c r="E19" s="32"/>
      <c r="F19" s="32"/>
      <c r="G19" s="34">
        <f>SUM(G4:G18)</f>
        <v>500.02827745681105</v>
      </c>
    </row>
    <row r="20" spans="1:7" ht="15" customHeight="1" x14ac:dyDescent="0.25">
      <c r="A20" s="2" t="s">
        <v>111</v>
      </c>
      <c r="B20" s="2"/>
      <c r="C20" s="2"/>
      <c r="D20" s="2"/>
      <c r="E20" s="2"/>
      <c r="F20" s="2"/>
      <c r="G20" s="2"/>
    </row>
  </sheetData>
  <mergeCells count="3">
    <mergeCell ref="A1:G1"/>
    <mergeCell ref="A2:G2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2"/>
  <sheetViews>
    <sheetView zoomScaleNormal="100" workbookViewId="0">
      <pane ySplit="2" topLeftCell="A3" activePane="bottomLeft" state="frozen"/>
      <selection pane="bottomLeft" activeCell="I14" sqref="I14"/>
    </sheetView>
  </sheetViews>
  <sheetFormatPr defaultColWidth="8.7109375" defaultRowHeight="15" x14ac:dyDescent="0.25"/>
  <cols>
    <col min="1" max="1" width="5" customWidth="1"/>
    <col min="2" max="3" width="12" customWidth="1"/>
    <col min="4" max="8" width="20.7109375" customWidth="1"/>
  </cols>
  <sheetData>
    <row r="1" spans="1:8" ht="18" customHeight="1" x14ac:dyDescent="0.25">
      <c r="A1" s="6" t="s">
        <v>112</v>
      </c>
      <c r="B1" s="6"/>
      <c r="C1" s="6"/>
      <c r="D1" s="6"/>
      <c r="E1" s="6"/>
      <c r="F1" s="6"/>
      <c r="G1" s="6"/>
      <c r="H1" s="6"/>
    </row>
    <row r="2" spans="1:8" ht="30" customHeight="1" x14ac:dyDescent="0.25">
      <c r="A2" s="22" t="s">
        <v>25</v>
      </c>
      <c r="B2" s="22" t="s">
        <v>26</v>
      </c>
      <c r="C2" s="22" t="s">
        <v>27</v>
      </c>
      <c r="D2" s="22" t="s">
        <v>113</v>
      </c>
      <c r="E2" s="22" t="s">
        <v>114</v>
      </c>
      <c r="F2" s="22" t="s">
        <v>115</v>
      </c>
      <c r="G2" s="22" t="s">
        <v>116</v>
      </c>
      <c r="H2" s="22" t="s">
        <v>117</v>
      </c>
    </row>
    <row r="3" spans="1:8" ht="15" customHeight="1" x14ac:dyDescent="0.25">
      <c r="A3" s="27">
        <v>1</v>
      </c>
      <c r="B3" s="21">
        <f>Raw_Data!B3</f>
        <v>0</v>
      </c>
      <c r="C3" s="21">
        <f>Raw_Data!C3</f>
        <v>0</v>
      </c>
      <c r="D3" s="24">
        <f>Raw_Data!D3</f>
        <v>500.415255</v>
      </c>
      <c r="E3" s="24">
        <f>Step3_Ld_Coefs!$D$4*Step1_Features!D4+Step3_Ld_Coefs!$D$5*Step1_Features!E4+Step3_Ld_Coefs!$D$6*Step1_Features!F4+Step3_Ld_Coefs!$D$7*Step1_Features!G4+Step3_Ld_Coefs!$D$8*Step1_Features!H4+Step3_Ld_Coefs!$D$9*Step1_Features!I4+Step3_Ld_Coefs!$D$10*Step1_Features!J4+Step3_Ld_Coefs!$D$11*Step1_Features!K4+Step3_Ld_Coefs!$D$12*Step1_Features!L4+Step3_Ld_Coefs!$D$13*Step1_Features!M4+Step3_Ld_Coefs!$D$14*Step1_Features!N4+Step3_Ld_Coefs!$D$15*Step1_Features!O4+Step3_Ld_Coefs!$D$16*Step1_Features!P4+Step3_Ld_Coefs!$D$17*Step1_Features!Q4+Step3_Ld_Coefs!$D$18*Step1_Features!R4</f>
        <v>500.41550710581578</v>
      </c>
      <c r="F3" s="35">
        <f t="shared" ref="F3:F34" si="0">D3-E3</f>
        <v>-2.5210581577539415E-4</v>
      </c>
      <c r="G3" s="21">
        <f t="shared" ref="G3:G34" si="1">F3^2</f>
        <v>6.3557342347776972E-8</v>
      </c>
      <c r="H3" s="24">
        <f t="shared" ref="H3:H34" si="2">F3/D3*100</f>
        <v>-5.0379322623846502E-5</v>
      </c>
    </row>
    <row r="4" spans="1:8" ht="15" customHeight="1" x14ac:dyDescent="0.25">
      <c r="A4" s="16">
        <v>2</v>
      </c>
      <c r="B4" s="21">
        <f>Raw_Data!B4</f>
        <v>0</v>
      </c>
      <c r="C4" s="21">
        <f>Raw_Data!C4</f>
        <v>0</v>
      </c>
      <c r="D4" s="25">
        <f>Raw_Data!D4</f>
        <v>501.00861600000002</v>
      </c>
      <c r="E4" s="25">
        <f>Step3_Ld_Coefs!$D$4*Step1_Features!D5+Step3_Ld_Coefs!$D$5*Step1_Features!E5+Step3_Ld_Coefs!$D$6*Step1_Features!F5+Step3_Ld_Coefs!$D$7*Step1_Features!G5+Step3_Ld_Coefs!$D$8*Step1_Features!H5+Step3_Ld_Coefs!$D$9*Step1_Features!I5+Step3_Ld_Coefs!$D$10*Step1_Features!J5+Step3_Ld_Coefs!$D$11*Step1_Features!K5+Step3_Ld_Coefs!$D$12*Step1_Features!L5+Step3_Ld_Coefs!$D$13*Step1_Features!M5+Step3_Ld_Coefs!$D$14*Step1_Features!N5+Step3_Ld_Coefs!$D$15*Step1_Features!O5+Step3_Ld_Coefs!$D$16*Step1_Features!P5+Step3_Ld_Coefs!$D$17*Step1_Features!Q5+Step3_Ld_Coefs!$D$18*Step1_Features!R5</f>
        <v>500.41550710581578</v>
      </c>
      <c r="F4" s="35">
        <f t="shared" si="0"/>
        <v>0.5931088941842404</v>
      </c>
      <c r="G4" s="17">
        <f t="shared" si="1"/>
        <v>0.35177816036045245</v>
      </c>
      <c r="H4" s="25">
        <f t="shared" si="2"/>
        <v>0.11838297291562755</v>
      </c>
    </row>
    <row r="5" spans="1:8" ht="15" customHeight="1" x14ac:dyDescent="0.25">
      <c r="A5" s="27">
        <v>3</v>
      </c>
      <c r="B5" s="21">
        <f>Raw_Data!B5</f>
        <v>0</v>
      </c>
      <c r="C5" s="21">
        <f>Raw_Data!C5</f>
        <v>0</v>
      </c>
      <c r="D5" s="24">
        <f>Raw_Data!D5</f>
        <v>501.26213000000001</v>
      </c>
      <c r="E5" s="24">
        <f>Step3_Ld_Coefs!$D$4*Step1_Features!D6+Step3_Ld_Coefs!$D$5*Step1_Features!E6+Step3_Ld_Coefs!$D$6*Step1_Features!F6+Step3_Ld_Coefs!$D$7*Step1_Features!G6+Step3_Ld_Coefs!$D$8*Step1_Features!H6+Step3_Ld_Coefs!$D$9*Step1_Features!I6+Step3_Ld_Coefs!$D$10*Step1_Features!J6+Step3_Ld_Coefs!$D$11*Step1_Features!K6+Step3_Ld_Coefs!$D$12*Step1_Features!L6+Step3_Ld_Coefs!$D$13*Step1_Features!M6+Step3_Ld_Coefs!$D$14*Step1_Features!N6+Step3_Ld_Coefs!$D$15*Step1_Features!O6+Step3_Ld_Coefs!$D$16*Step1_Features!P6+Step3_Ld_Coefs!$D$17*Step1_Features!Q6+Step3_Ld_Coefs!$D$18*Step1_Features!R6</f>
        <v>500.41550710581578</v>
      </c>
      <c r="F5" s="35">
        <f t="shared" si="0"/>
        <v>0.84662289418423597</v>
      </c>
      <c r="G5" s="21">
        <f t="shared" si="1"/>
        <v>0.71677032495689197</v>
      </c>
      <c r="H5" s="24">
        <f t="shared" si="2"/>
        <v>0.16889823577620675</v>
      </c>
    </row>
    <row r="6" spans="1:8" ht="15" customHeight="1" x14ac:dyDescent="0.25">
      <c r="A6" s="16">
        <v>4</v>
      </c>
      <c r="B6" s="21">
        <f>Raw_Data!B6</f>
        <v>0</v>
      </c>
      <c r="C6" s="21">
        <f>Raw_Data!C6</f>
        <v>0</v>
      </c>
      <c r="D6" s="25">
        <f>Raw_Data!D6</f>
        <v>501.10672199999999</v>
      </c>
      <c r="E6" s="25">
        <f>Step3_Ld_Coefs!$D$4*Step1_Features!D7+Step3_Ld_Coefs!$D$5*Step1_Features!E7+Step3_Ld_Coefs!$D$6*Step1_Features!F7+Step3_Ld_Coefs!$D$7*Step1_Features!G7+Step3_Ld_Coefs!$D$8*Step1_Features!H7+Step3_Ld_Coefs!$D$9*Step1_Features!I7+Step3_Ld_Coefs!$D$10*Step1_Features!J7+Step3_Ld_Coefs!$D$11*Step1_Features!K7+Step3_Ld_Coefs!$D$12*Step1_Features!L7+Step3_Ld_Coefs!$D$13*Step1_Features!M7+Step3_Ld_Coefs!$D$14*Step1_Features!N7+Step3_Ld_Coefs!$D$15*Step1_Features!O7+Step3_Ld_Coefs!$D$16*Step1_Features!P7+Step3_Ld_Coefs!$D$17*Step1_Features!Q7+Step3_Ld_Coefs!$D$18*Step1_Features!R7</f>
        <v>500.41550710581578</v>
      </c>
      <c r="F6" s="35">
        <f t="shared" si="0"/>
        <v>0.69121489418421334</v>
      </c>
      <c r="G6" s="17">
        <f t="shared" si="1"/>
        <v>0.47777802994209323</v>
      </c>
      <c r="H6" s="25">
        <f t="shared" si="2"/>
        <v>0.1379376615475163</v>
      </c>
    </row>
    <row r="7" spans="1:8" ht="15" customHeight="1" x14ac:dyDescent="0.25">
      <c r="A7" s="27">
        <v>5</v>
      </c>
      <c r="B7" s="21">
        <f>Raw_Data!B7</f>
        <v>0</v>
      </c>
      <c r="C7" s="21">
        <f>Raw_Data!C7</f>
        <v>0</v>
      </c>
      <c r="D7" s="24">
        <f>Raw_Data!D7</f>
        <v>500.585286</v>
      </c>
      <c r="E7" s="24">
        <f>Step3_Ld_Coefs!$D$4*Step1_Features!D8+Step3_Ld_Coefs!$D$5*Step1_Features!E8+Step3_Ld_Coefs!$D$6*Step1_Features!F8+Step3_Ld_Coefs!$D$7*Step1_Features!G8+Step3_Ld_Coefs!$D$8*Step1_Features!H8+Step3_Ld_Coefs!$D$9*Step1_Features!I8+Step3_Ld_Coefs!$D$10*Step1_Features!J8+Step3_Ld_Coefs!$D$11*Step1_Features!K8+Step3_Ld_Coefs!$D$12*Step1_Features!L8+Step3_Ld_Coefs!$D$13*Step1_Features!M8+Step3_Ld_Coefs!$D$14*Step1_Features!N8+Step3_Ld_Coefs!$D$15*Step1_Features!O8+Step3_Ld_Coefs!$D$16*Step1_Features!P8+Step3_Ld_Coefs!$D$17*Step1_Features!Q8+Step3_Ld_Coefs!$D$18*Step1_Features!R8</f>
        <v>500.41550710581578</v>
      </c>
      <c r="F7" s="35">
        <f t="shared" si="0"/>
        <v>0.1697788941842191</v>
      </c>
      <c r="G7" s="21">
        <f t="shared" si="1"/>
        <v>2.8824872910416265E-2</v>
      </c>
      <c r="H7" s="24">
        <f t="shared" si="2"/>
        <v>3.3916077626024971E-2</v>
      </c>
    </row>
    <row r="8" spans="1:8" ht="15" customHeight="1" x14ac:dyDescent="0.25">
      <c r="A8" s="16">
        <v>6</v>
      </c>
      <c r="B8" s="21">
        <f>Raw_Data!B8</f>
        <v>0</v>
      </c>
      <c r="C8" s="21">
        <f>Raw_Data!C8</f>
        <v>0</v>
      </c>
      <c r="D8" s="25">
        <f>Raw_Data!D8</f>
        <v>499.83822400000003</v>
      </c>
      <c r="E8" s="25">
        <f>Step3_Ld_Coefs!$D$4*Step1_Features!D9+Step3_Ld_Coefs!$D$5*Step1_Features!E9+Step3_Ld_Coefs!$D$6*Step1_Features!F9+Step3_Ld_Coefs!$D$7*Step1_Features!G9+Step3_Ld_Coefs!$D$8*Step1_Features!H9+Step3_Ld_Coefs!$D$9*Step1_Features!I9+Step3_Ld_Coefs!$D$10*Step1_Features!J9+Step3_Ld_Coefs!$D$11*Step1_Features!K9+Step3_Ld_Coefs!$D$12*Step1_Features!L9+Step3_Ld_Coefs!$D$13*Step1_Features!M9+Step3_Ld_Coefs!$D$14*Step1_Features!N9+Step3_Ld_Coefs!$D$15*Step1_Features!O9+Step3_Ld_Coefs!$D$16*Step1_Features!P9+Step3_Ld_Coefs!$D$17*Step1_Features!Q9+Step3_Ld_Coefs!$D$18*Step1_Features!R9</f>
        <v>500.41550710581578</v>
      </c>
      <c r="F8" s="35">
        <f t="shared" si="0"/>
        <v>-0.57728310581575215</v>
      </c>
      <c r="G8" s="17">
        <f t="shared" si="1"/>
        <v>0.33325578426028091</v>
      </c>
      <c r="H8" s="25">
        <f t="shared" si="2"/>
        <v>-0.11549398947443286</v>
      </c>
    </row>
    <row r="9" spans="1:8" ht="15" customHeight="1" x14ac:dyDescent="0.25">
      <c r="A9" s="27">
        <v>7</v>
      </c>
      <c r="B9" s="21">
        <f>Raw_Data!B9</f>
        <v>0</v>
      </c>
      <c r="C9" s="21">
        <f>Raw_Data!C9</f>
        <v>0</v>
      </c>
      <c r="D9" s="24">
        <f>Raw_Data!D9</f>
        <v>499.064345</v>
      </c>
      <c r="E9" s="24">
        <f>Step3_Ld_Coefs!$D$4*Step1_Features!D10+Step3_Ld_Coefs!$D$5*Step1_Features!E10+Step3_Ld_Coefs!$D$6*Step1_Features!F10+Step3_Ld_Coefs!$D$7*Step1_Features!G10+Step3_Ld_Coefs!$D$8*Step1_Features!H10+Step3_Ld_Coefs!$D$9*Step1_Features!I10+Step3_Ld_Coefs!$D$10*Step1_Features!J10+Step3_Ld_Coefs!$D$11*Step1_Features!K10+Step3_Ld_Coefs!$D$12*Step1_Features!L10+Step3_Ld_Coefs!$D$13*Step1_Features!M10+Step3_Ld_Coefs!$D$14*Step1_Features!N10+Step3_Ld_Coefs!$D$15*Step1_Features!O10+Step3_Ld_Coefs!$D$16*Step1_Features!P10+Step3_Ld_Coefs!$D$17*Step1_Features!Q10+Step3_Ld_Coefs!$D$18*Step1_Features!R10</f>
        <v>500.41550710581578</v>
      </c>
      <c r="F9" s="35">
        <f t="shared" si="0"/>
        <v>-1.3511621058157743</v>
      </c>
      <c r="G9" s="21">
        <f t="shared" si="1"/>
        <v>1.8256390361925177</v>
      </c>
      <c r="H9" s="24">
        <f t="shared" si="2"/>
        <v>-0.27073905786953673</v>
      </c>
    </row>
    <row r="10" spans="1:8" ht="15" customHeight="1" x14ac:dyDescent="0.25">
      <c r="A10" s="16">
        <v>8</v>
      </c>
      <c r="B10" s="21">
        <f>Raw_Data!B10</f>
        <v>0</v>
      </c>
      <c r="C10" s="21">
        <f>Raw_Data!C10</f>
        <v>10.280355</v>
      </c>
      <c r="D10" s="25">
        <f>Raw_Data!D10</f>
        <v>499.15295700000001</v>
      </c>
      <c r="E10" s="25">
        <f>Step3_Ld_Coefs!$D$4*Step1_Features!D11+Step3_Ld_Coefs!$D$5*Step1_Features!E11+Step3_Ld_Coefs!$D$6*Step1_Features!F11+Step3_Ld_Coefs!$D$7*Step1_Features!G11+Step3_Ld_Coefs!$D$8*Step1_Features!H11+Step3_Ld_Coefs!$D$9*Step1_Features!I11+Step3_Ld_Coefs!$D$10*Step1_Features!J11+Step3_Ld_Coefs!$D$11*Step1_Features!K11+Step3_Ld_Coefs!$D$12*Step1_Features!L11+Step3_Ld_Coefs!$D$13*Step1_Features!M11+Step3_Ld_Coefs!$D$14*Step1_Features!N11+Step3_Ld_Coefs!$D$15*Step1_Features!O11+Step3_Ld_Coefs!$D$16*Step1_Features!P11+Step3_Ld_Coefs!$D$17*Step1_Features!Q11+Step3_Ld_Coefs!$D$18*Step1_Features!R11</f>
        <v>499.50563613687149</v>
      </c>
      <c r="F10" s="35">
        <f t="shared" si="0"/>
        <v>-0.35267913687147256</v>
      </c>
      <c r="G10" s="17">
        <f t="shared" si="1"/>
        <v>0.12438257358440688</v>
      </c>
      <c r="H10" s="25">
        <f t="shared" si="2"/>
        <v>-7.0655523908170009E-2</v>
      </c>
    </row>
    <row r="11" spans="1:8" ht="15" customHeight="1" x14ac:dyDescent="0.25">
      <c r="A11" s="27">
        <v>9</v>
      </c>
      <c r="B11" s="21">
        <f>Raw_Data!B11</f>
        <v>-2.660752</v>
      </c>
      <c r="C11" s="21">
        <f>Raw_Data!C11</f>
        <v>9.9300610000000002</v>
      </c>
      <c r="D11" s="24">
        <f>Raw_Data!D11</f>
        <v>500.50878599999999</v>
      </c>
      <c r="E11" s="24">
        <f>Step3_Ld_Coefs!$D$4*Step1_Features!D12+Step3_Ld_Coefs!$D$5*Step1_Features!E12+Step3_Ld_Coefs!$D$6*Step1_Features!F12+Step3_Ld_Coefs!$D$7*Step1_Features!G12+Step3_Ld_Coefs!$D$8*Step1_Features!H12+Step3_Ld_Coefs!$D$9*Step1_Features!I12+Step3_Ld_Coefs!$D$10*Step1_Features!J12+Step3_Ld_Coefs!$D$11*Step1_Features!K12+Step3_Ld_Coefs!$D$12*Step1_Features!L12+Step3_Ld_Coefs!$D$13*Step1_Features!M12+Step3_Ld_Coefs!$D$14*Step1_Features!N12+Step3_Ld_Coefs!$D$15*Step1_Features!O12+Step3_Ld_Coefs!$D$16*Step1_Features!P12+Step3_Ld_Coefs!$D$17*Step1_Features!Q12+Step3_Ld_Coefs!$D$18*Step1_Features!R12</f>
        <v>500.21336664469101</v>
      </c>
      <c r="F11" s="35">
        <f t="shared" si="0"/>
        <v>0.29541935530897945</v>
      </c>
      <c r="G11" s="21">
        <f t="shared" si="1"/>
        <v>8.7272595491173041E-2</v>
      </c>
      <c r="H11" s="24">
        <f t="shared" si="2"/>
        <v>5.9023810085319754E-2</v>
      </c>
    </row>
    <row r="12" spans="1:8" ht="15" customHeight="1" x14ac:dyDescent="0.25">
      <c r="A12" s="16">
        <v>10</v>
      </c>
      <c r="B12" s="21">
        <f>Raw_Data!B12</f>
        <v>-5.1401779999999997</v>
      </c>
      <c r="C12" s="21">
        <f>Raw_Data!C12</f>
        <v>8.9030489999999993</v>
      </c>
      <c r="D12" s="25">
        <f>Raw_Data!D12</f>
        <v>501.47484400000002</v>
      </c>
      <c r="E12" s="25">
        <f>Step3_Ld_Coefs!$D$4*Step1_Features!D13+Step3_Ld_Coefs!$D$5*Step1_Features!E13+Step3_Ld_Coefs!$D$6*Step1_Features!F13+Step3_Ld_Coefs!$D$7*Step1_Features!G13+Step3_Ld_Coefs!$D$8*Step1_Features!H13+Step3_Ld_Coefs!$D$9*Step1_Features!I13+Step3_Ld_Coefs!$D$10*Step1_Features!J13+Step3_Ld_Coefs!$D$11*Step1_Features!K13+Step3_Ld_Coefs!$D$12*Step1_Features!L13+Step3_Ld_Coefs!$D$13*Step1_Features!M13+Step3_Ld_Coefs!$D$14*Step1_Features!N13+Step3_Ld_Coefs!$D$15*Step1_Features!O13+Step3_Ld_Coefs!$D$16*Step1_Features!P13+Step3_Ld_Coefs!$D$17*Step1_Features!Q13+Step3_Ld_Coefs!$D$18*Step1_Features!R13</f>
        <v>500.85871861034138</v>
      </c>
      <c r="F12" s="35">
        <f t="shared" si="0"/>
        <v>0.6161253896586345</v>
      </c>
      <c r="G12" s="17">
        <f t="shared" si="1"/>
        <v>0.37961049578200418</v>
      </c>
      <c r="H12" s="25">
        <f t="shared" si="2"/>
        <v>0.1228626713842967</v>
      </c>
    </row>
    <row r="13" spans="1:8" ht="15" customHeight="1" x14ac:dyDescent="0.25">
      <c r="A13" s="27">
        <v>11</v>
      </c>
      <c r="B13" s="21">
        <f>Raw_Data!B13</f>
        <v>-7.2693089999999998</v>
      </c>
      <c r="C13" s="21">
        <f>Raw_Data!C13</f>
        <v>7.2693089999999998</v>
      </c>
      <c r="D13" s="24">
        <f>Raw_Data!D13</f>
        <v>501.85677299999998</v>
      </c>
      <c r="E13" s="24">
        <f>Step3_Ld_Coefs!$D$4*Step1_Features!D14+Step3_Ld_Coefs!$D$5*Step1_Features!E14+Step3_Ld_Coefs!$D$6*Step1_Features!F14+Step3_Ld_Coefs!$D$7*Step1_Features!G14+Step3_Ld_Coefs!$D$8*Step1_Features!H14+Step3_Ld_Coefs!$D$9*Step1_Features!I14+Step3_Ld_Coefs!$D$10*Step1_Features!J14+Step3_Ld_Coefs!$D$11*Step1_Features!K14+Step3_Ld_Coefs!$D$12*Step1_Features!L14+Step3_Ld_Coefs!$D$13*Step1_Features!M14+Step3_Ld_Coefs!$D$14*Step1_Features!N14+Step3_Ld_Coefs!$D$15*Step1_Features!O14+Step3_Ld_Coefs!$D$16*Step1_Features!P14+Step3_Ld_Coefs!$D$17*Step1_Features!Q14+Step3_Ld_Coefs!$D$18*Step1_Features!R14</f>
        <v>501.35916749251987</v>
      </c>
      <c r="F13" s="35">
        <f t="shared" si="0"/>
        <v>0.49760550748010246</v>
      </c>
      <c r="G13" s="21">
        <f t="shared" si="1"/>
        <v>0.24761124107453031</v>
      </c>
      <c r="H13" s="24">
        <f t="shared" si="2"/>
        <v>9.9152892668064582E-2</v>
      </c>
    </row>
    <row r="14" spans="1:8" ht="15" customHeight="1" x14ac:dyDescent="0.25">
      <c r="A14" s="16">
        <v>12</v>
      </c>
      <c r="B14" s="21">
        <f>Raw_Data!B14</f>
        <v>-8.9030489999999993</v>
      </c>
      <c r="C14" s="21">
        <f>Raw_Data!C14</f>
        <v>5.1401779999999997</v>
      </c>
      <c r="D14" s="25">
        <f>Raw_Data!D14</f>
        <v>501.77728300000001</v>
      </c>
      <c r="E14" s="25">
        <f>Step3_Ld_Coefs!$D$4*Step1_Features!D15+Step3_Ld_Coefs!$D$5*Step1_Features!E15+Step3_Ld_Coefs!$D$6*Step1_Features!F15+Step3_Ld_Coefs!$D$7*Step1_Features!G15+Step3_Ld_Coefs!$D$8*Step1_Features!H15+Step3_Ld_Coefs!$D$9*Step1_Features!I15+Step3_Ld_Coefs!$D$10*Step1_Features!J15+Step3_Ld_Coefs!$D$11*Step1_Features!K15+Step3_Ld_Coefs!$D$12*Step1_Features!L15+Step3_Ld_Coefs!$D$13*Step1_Features!M15+Step3_Ld_Coefs!$D$14*Step1_Features!N15+Step3_Ld_Coefs!$D$15*Step1_Features!O15+Step3_Ld_Coefs!$D$16*Step1_Features!P15+Step3_Ld_Coefs!$D$17*Step1_Features!Q15+Step3_Ld_Coefs!$D$18*Step1_Features!R15</f>
        <v>501.64811694325329</v>
      </c>
      <c r="F14" s="35">
        <f t="shared" si="0"/>
        <v>0.1291660567467261</v>
      </c>
      <c r="G14" s="17">
        <f t="shared" si="1"/>
        <v>1.6683870215498466E-2</v>
      </c>
      <c r="H14" s="25">
        <f t="shared" si="2"/>
        <v>2.5741710739568515E-2</v>
      </c>
    </row>
    <row r="15" spans="1:8" ht="15" customHeight="1" x14ac:dyDescent="0.25">
      <c r="A15" s="27">
        <v>13</v>
      </c>
      <c r="B15" s="21">
        <f>Raw_Data!B15</f>
        <v>-9.9300610000000002</v>
      </c>
      <c r="C15" s="21">
        <f>Raw_Data!C15</f>
        <v>2.660752</v>
      </c>
      <c r="D15" s="24">
        <f>Raw_Data!D15</f>
        <v>501.29198100000002</v>
      </c>
      <c r="E15" s="24">
        <f>Step3_Ld_Coefs!$D$4*Step1_Features!D16+Step3_Ld_Coefs!$D$5*Step1_Features!E16+Step3_Ld_Coefs!$D$6*Step1_Features!F16+Step3_Ld_Coefs!$D$7*Step1_Features!G16+Step3_Ld_Coefs!$D$8*Step1_Features!H16+Step3_Ld_Coefs!$D$9*Step1_Features!I16+Step3_Ld_Coefs!$D$10*Step1_Features!J16+Step3_Ld_Coefs!$D$11*Step1_Features!K16+Step3_Ld_Coefs!$D$12*Step1_Features!L16+Step3_Ld_Coefs!$D$13*Step1_Features!M16+Step3_Ld_Coefs!$D$14*Step1_Features!N16+Step3_Ld_Coefs!$D$15*Step1_Features!O16+Step3_Ld_Coefs!$D$16*Step1_Features!P16+Step3_Ld_Coefs!$D$17*Step1_Features!Q16+Step3_Ld_Coefs!$D$18*Step1_Features!R16</f>
        <v>501.67861743078913</v>
      </c>
      <c r="F15" s="35">
        <f t="shared" si="0"/>
        <v>-0.38663643078911036</v>
      </c>
      <c r="G15" s="21">
        <f t="shared" si="1"/>
        <v>0.14948772961334253</v>
      </c>
      <c r="H15" s="24">
        <f t="shared" si="2"/>
        <v>-7.7127990361591348E-2</v>
      </c>
    </row>
    <row r="16" spans="1:8" ht="15" customHeight="1" x14ac:dyDescent="0.25">
      <c r="A16" s="16">
        <v>14</v>
      </c>
      <c r="B16" s="21">
        <f>Raw_Data!B16</f>
        <v>-10.280355</v>
      </c>
      <c r="C16" s="21">
        <f>Raw_Data!C16</f>
        <v>0</v>
      </c>
      <c r="D16" s="25">
        <f>Raw_Data!D16</f>
        <v>500.65433000000002</v>
      </c>
      <c r="E16" s="25">
        <f>Step3_Ld_Coefs!$D$4*Step1_Features!D17+Step3_Ld_Coefs!$D$5*Step1_Features!E17+Step3_Ld_Coefs!$D$6*Step1_Features!F17+Step3_Ld_Coefs!$D$7*Step1_Features!G17+Step3_Ld_Coefs!$D$8*Step1_Features!H17+Step3_Ld_Coefs!$D$9*Step1_Features!I17+Step3_Ld_Coefs!$D$10*Step1_Features!J17+Step3_Ld_Coefs!$D$11*Step1_Features!K17+Step3_Ld_Coefs!$D$12*Step1_Features!L17+Step3_Ld_Coefs!$D$13*Step1_Features!M17+Step3_Ld_Coefs!$D$14*Step1_Features!N17+Step3_Ld_Coefs!$D$15*Step1_Features!O17+Step3_Ld_Coefs!$D$16*Step1_Features!P17+Step3_Ld_Coefs!$D$17*Step1_Features!Q17+Step3_Ld_Coefs!$D$18*Step1_Features!R17</f>
        <v>501.42889644539417</v>
      </c>
      <c r="F16" s="35">
        <f t="shared" si="0"/>
        <v>-0.7745664453941572</v>
      </c>
      <c r="G16" s="17">
        <f t="shared" si="1"/>
        <v>0.59995317833053996</v>
      </c>
      <c r="H16" s="25">
        <f t="shared" si="2"/>
        <v>-0.15471082521031171</v>
      </c>
    </row>
    <row r="17" spans="1:8" ht="15" customHeight="1" x14ac:dyDescent="0.25">
      <c r="A17" s="27">
        <v>15</v>
      </c>
      <c r="B17" s="21">
        <f>Raw_Data!B17</f>
        <v>0</v>
      </c>
      <c r="C17" s="21">
        <f>Raw_Data!C17</f>
        <v>20.560711000000001</v>
      </c>
      <c r="D17" s="24">
        <f>Raw_Data!D17</f>
        <v>495.52909799999998</v>
      </c>
      <c r="E17" s="24">
        <f>Step3_Ld_Coefs!$D$4*Step1_Features!D18+Step3_Ld_Coefs!$D$5*Step1_Features!E18+Step3_Ld_Coefs!$D$6*Step1_Features!F18+Step3_Ld_Coefs!$D$7*Step1_Features!G18+Step3_Ld_Coefs!$D$8*Step1_Features!H18+Step3_Ld_Coefs!$D$9*Step1_Features!I18+Step3_Ld_Coefs!$D$10*Step1_Features!J18+Step3_Ld_Coefs!$D$11*Step1_Features!K18+Step3_Ld_Coefs!$D$12*Step1_Features!L18+Step3_Ld_Coefs!$D$13*Step1_Features!M18+Step3_Ld_Coefs!$D$14*Step1_Features!N18+Step3_Ld_Coefs!$D$15*Step1_Features!O18+Step3_Ld_Coefs!$D$16*Step1_Features!P18+Step3_Ld_Coefs!$D$17*Step1_Features!Q18+Step3_Ld_Coefs!$D$18*Step1_Features!R18</f>
        <v>495.91138563750178</v>
      </c>
      <c r="F17" s="35">
        <f t="shared" si="0"/>
        <v>-0.38228763750180406</v>
      </c>
      <c r="G17" s="21">
        <f t="shared" si="1"/>
        <v>0.14614383778671075</v>
      </c>
      <c r="H17" s="24">
        <f t="shared" si="2"/>
        <v>-7.7147364109343197E-2</v>
      </c>
    </row>
    <row r="18" spans="1:8" ht="15" customHeight="1" x14ac:dyDescent="0.25">
      <c r="A18" s="16">
        <v>16</v>
      </c>
      <c r="B18" s="21">
        <f>Raw_Data!B18</f>
        <v>-5.321504</v>
      </c>
      <c r="C18" s="21">
        <f>Raw_Data!C18</f>
        <v>19.860120999999999</v>
      </c>
      <c r="D18" s="25">
        <f>Raw_Data!D18</f>
        <v>498.125316</v>
      </c>
      <c r="E18" s="25">
        <f>Step3_Ld_Coefs!$D$4*Step1_Features!D19+Step3_Ld_Coefs!$D$5*Step1_Features!E19+Step3_Ld_Coefs!$D$6*Step1_Features!F19+Step3_Ld_Coefs!$D$7*Step1_Features!G19+Step3_Ld_Coefs!$D$8*Step1_Features!H19+Step3_Ld_Coefs!$D$9*Step1_Features!I19+Step3_Ld_Coefs!$D$10*Step1_Features!J19+Step3_Ld_Coefs!$D$11*Step1_Features!K19+Step3_Ld_Coefs!$D$12*Step1_Features!L19+Step3_Ld_Coefs!$D$13*Step1_Features!M19+Step3_Ld_Coefs!$D$14*Step1_Features!N19+Step3_Ld_Coefs!$D$15*Step1_Features!O19+Step3_Ld_Coefs!$D$16*Step1_Features!P19+Step3_Ld_Coefs!$D$17*Step1_Features!Q19+Step3_Ld_Coefs!$D$18*Step1_Features!R19</f>
        <v>497.88517486569981</v>
      </c>
      <c r="F18" s="35">
        <f t="shared" si="0"/>
        <v>0.24014113430018824</v>
      </c>
      <c r="G18" s="17">
        <f t="shared" si="1"/>
        <v>5.7667764382981046E-2</v>
      </c>
      <c r="H18" s="25">
        <f t="shared" si="2"/>
        <v>4.8208980067214302E-2</v>
      </c>
    </row>
    <row r="19" spans="1:8" ht="15" customHeight="1" x14ac:dyDescent="0.25">
      <c r="A19" s="27">
        <v>17</v>
      </c>
      <c r="B19" s="21">
        <f>Raw_Data!B19</f>
        <v>-10.280355</v>
      </c>
      <c r="C19" s="21">
        <f>Raw_Data!C19</f>
        <v>17.806097999999999</v>
      </c>
      <c r="D19" s="24">
        <f>Raw_Data!D19</f>
        <v>499.84291400000001</v>
      </c>
      <c r="E19" s="24">
        <f>Step3_Ld_Coefs!$D$4*Step1_Features!D20+Step3_Ld_Coefs!$D$5*Step1_Features!E20+Step3_Ld_Coefs!$D$6*Step1_Features!F20+Step3_Ld_Coefs!$D$7*Step1_Features!G20+Step3_Ld_Coefs!$D$8*Step1_Features!H20+Step3_Ld_Coefs!$D$9*Step1_Features!I20+Step3_Ld_Coefs!$D$10*Step1_Features!J20+Step3_Ld_Coefs!$D$11*Step1_Features!K20+Step3_Ld_Coefs!$D$12*Step1_Features!L20+Step3_Ld_Coefs!$D$13*Step1_Features!M20+Step3_Ld_Coefs!$D$14*Step1_Features!N20+Step3_Ld_Coefs!$D$15*Step1_Features!O20+Step3_Ld_Coefs!$D$16*Step1_Features!P20+Step3_Ld_Coefs!$D$17*Step1_Features!Q20+Step3_Ld_Coefs!$D$18*Step1_Features!R20</f>
        <v>499.61091656047182</v>
      </c>
      <c r="F19" s="35">
        <f t="shared" si="0"/>
        <v>0.23199743952818608</v>
      </c>
      <c r="G19" s="21">
        <f t="shared" si="1"/>
        <v>5.3822811947634358E-2</v>
      </c>
      <c r="H19" s="24">
        <f t="shared" si="2"/>
        <v>4.6414069906807978E-2</v>
      </c>
    </row>
    <row r="20" spans="1:8" ht="15" customHeight="1" x14ac:dyDescent="0.25">
      <c r="A20" s="16">
        <v>18</v>
      </c>
      <c r="B20" s="21">
        <f>Raw_Data!B20</f>
        <v>-14.538618</v>
      </c>
      <c r="C20" s="21">
        <f>Raw_Data!C20</f>
        <v>14.538618</v>
      </c>
      <c r="D20" s="25">
        <f>Raw_Data!D20</f>
        <v>501.02633900000001</v>
      </c>
      <c r="E20" s="25">
        <f>Step3_Ld_Coefs!$D$4*Step1_Features!D21+Step3_Ld_Coefs!$D$5*Step1_Features!E21+Step3_Ld_Coefs!$D$6*Step1_Features!F21+Step3_Ld_Coefs!$D$7*Step1_Features!G21+Step3_Ld_Coefs!$D$8*Step1_Features!H21+Step3_Ld_Coefs!$D$9*Step1_Features!I21+Step3_Ld_Coefs!$D$10*Step1_Features!J21+Step3_Ld_Coefs!$D$11*Step1_Features!K21+Step3_Ld_Coefs!$D$12*Step1_Features!L21+Step3_Ld_Coefs!$D$13*Step1_Features!M21+Step3_Ld_Coefs!$D$14*Step1_Features!N21+Step3_Ld_Coefs!$D$15*Step1_Features!O21+Step3_Ld_Coefs!$D$16*Step1_Features!P21+Step3_Ld_Coefs!$D$17*Step1_Features!Q21+Step3_Ld_Coefs!$D$18*Step1_Features!R21</f>
        <v>500.92586540764017</v>
      </c>
      <c r="F20" s="35">
        <f t="shared" si="0"/>
        <v>0.10047359235983322</v>
      </c>
      <c r="G20" s="17">
        <f t="shared" si="1"/>
        <v>1.0094942761689936E-2</v>
      </c>
      <c r="H20" s="25">
        <f t="shared" si="2"/>
        <v>2.0053554980835692E-2</v>
      </c>
    </row>
    <row r="21" spans="1:8" ht="15" customHeight="1" x14ac:dyDescent="0.25">
      <c r="A21" s="27">
        <v>19</v>
      </c>
      <c r="B21" s="21">
        <f>Raw_Data!B21</f>
        <v>-17.806097999999999</v>
      </c>
      <c r="C21" s="21">
        <f>Raw_Data!C21</f>
        <v>10.280355</v>
      </c>
      <c r="D21" s="24">
        <f>Raw_Data!D21</f>
        <v>501.520129</v>
      </c>
      <c r="E21" s="24">
        <f>Step3_Ld_Coefs!$D$4*Step1_Features!D22+Step3_Ld_Coefs!$D$5*Step1_Features!E22+Step3_Ld_Coefs!$D$6*Step1_Features!F22+Step3_Ld_Coefs!$D$7*Step1_Features!G22+Step3_Ld_Coefs!$D$8*Step1_Features!H22+Step3_Ld_Coefs!$D$9*Step1_Features!I22+Step3_Ld_Coefs!$D$10*Step1_Features!J22+Step3_Ld_Coefs!$D$11*Step1_Features!K22+Step3_Ld_Coefs!$D$12*Step1_Features!L22+Step3_Ld_Coefs!$D$13*Step1_Features!M22+Step3_Ld_Coefs!$D$14*Step1_Features!N22+Step3_Ld_Coefs!$D$15*Step1_Features!O22+Step3_Ld_Coefs!$D$16*Step1_Features!P22+Step3_Ld_Coefs!$D$17*Step1_Features!Q22+Step3_Ld_Coefs!$D$18*Step1_Features!R22</f>
        <v>501.7195059023266</v>
      </c>
      <c r="F21" s="35">
        <f t="shared" si="0"/>
        <v>-0.19937690232660543</v>
      </c>
      <c r="G21" s="21">
        <f t="shared" si="1"/>
        <v>3.9751149181352766E-2</v>
      </c>
      <c r="H21" s="24">
        <f t="shared" si="2"/>
        <v>-3.9754516478561007E-2</v>
      </c>
    </row>
    <row r="22" spans="1:8" ht="15" customHeight="1" x14ac:dyDescent="0.25">
      <c r="A22" s="16">
        <v>20</v>
      </c>
      <c r="B22" s="21">
        <f>Raw_Data!B22</f>
        <v>-19.860120999999999</v>
      </c>
      <c r="C22" s="21">
        <f>Raw_Data!C22</f>
        <v>5.321504</v>
      </c>
      <c r="D22" s="25">
        <f>Raw_Data!D22</f>
        <v>501.44174400000003</v>
      </c>
      <c r="E22" s="25">
        <f>Step3_Ld_Coefs!$D$4*Step1_Features!D23+Step3_Ld_Coefs!$D$5*Step1_Features!E23+Step3_Ld_Coefs!$D$6*Step1_Features!F23+Step3_Ld_Coefs!$D$7*Step1_Features!G23+Step3_Ld_Coefs!$D$8*Step1_Features!H23+Step3_Ld_Coefs!$D$9*Step1_Features!I23+Step3_Ld_Coefs!$D$10*Step1_Features!J23+Step3_Ld_Coefs!$D$11*Step1_Features!K23+Step3_Ld_Coefs!$D$12*Step1_Features!L23+Step3_Ld_Coefs!$D$13*Step1_Features!M23+Step3_Ld_Coefs!$D$14*Step1_Features!N23+Step3_Ld_Coefs!$D$15*Step1_Features!O23+Step3_Ld_Coefs!$D$16*Step1_Features!P23+Step3_Ld_Coefs!$D$17*Step1_Features!Q23+Step3_Ld_Coefs!$D$18*Step1_Features!R23</f>
        <v>501.88532504698412</v>
      </c>
      <c r="F22" s="35">
        <f t="shared" si="0"/>
        <v>-0.44358104698409306</v>
      </c>
      <c r="G22" s="17">
        <f t="shared" si="1"/>
        <v>0.19676414524350419</v>
      </c>
      <c r="H22" s="25">
        <f t="shared" si="2"/>
        <v>-8.8461132781975371E-2</v>
      </c>
    </row>
    <row r="23" spans="1:8" ht="15" customHeight="1" x14ac:dyDescent="0.25">
      <c r="A23" s="27">
        <v>21</v>
      </c>
      <c r="B23" s="21">
        <f>Raw_Data!B23</f>
        <v>-20.560711000000001</v>
      </c>
      <c r="C23" s="21">
        <f>Raw_Data!C23</f>
        <v>0</v>
      </c>
      <c r="D23" s="24">
        <f>Raw_Data!D23</f>
        <v>500.93884700000001</v>
      </c>
      <c r="E23" s="24">
        <f>Step3_Ld_Coefs!$D$4*Step1_Features!D24+Step3_Ld_Coefs!$D$5*Step1_Features!E24+Step3_Ld_Coefs!$D$6*Step1_Features!F24+Step3_Ld_Coefs!$D$7*Step1_Features!G24+Step3_Ld_Coefs!$D$8*Step1_Features!H24+Step3_Ld_Coefs!$D$9*Step1_Features!I24+Step3_Ld_Coefs!$D$10*Step1_Features!J24+Step3_Ld_Coefs!$D$11*Step1_Features!K24+Step3_Ld_Coefs!$D$12*Step1_Features!L24+Step3_Ld_Coefs!$D$13*Step1_Features!M24+Step3_Ld_Coefs!$D$14*Step1_Features!N24+Step3_Ld_Coefs!$D$15*Step1_Features!O24+Step3_Ld_Coefs!$D$16*Step1_Features!P24+Step3_Ld_Coefs!$D$17*Step1_Features!Q24+Step3_Ld_Coefs!$D$18*Step1_Features!R24</f>
        <v>501.3060536353679</v>
      </c>
      <c r="F23" s="35">
        <f t="shared" si="0"/>
        <v>-0.36720663536789289</v>
      </c>
      <c r="G23" s="21">
        <f t="shared" si="1"/>
        <v>0.13484071305820863</v>
      </c>
      <c r="H23" s="24">
        <f t="shared" si="2"/>
        <v>-7.330368518373119E-2</v>
      </c>
    </row>
    <row r="24" spans="1:8" ht="15" customHeight="1" x14ac:dyDescent="0.25">
      <c r="A24" s="16">
        <v>22</v>
      </c>
      <c r="B24" s="21">
        <f>Raw_Data!B24</f>
        <v>0</v>
      </c>
      <c r="C24" s="21">
        <f>Raw_Data!C24</f>
        <v>30.841066000000001</v>
      </c>
      <c r="D24" s="25">
        <f>Raw_Data!D24</f>
        <v>490.22663799999998</v>
      </c>
      <c r="E24" s="25">
        <f>Step3_Ld_Coefs!$D$4*Step1_Features!D25+Step3_Ld_Coefs!$D$5*Step1_Features!E25+Step3_Ld_Coefs!$D$6*Step1_Features!F25+Step3_Ld_Coefs!$D$7*Step1_Features!G25+Step3_Ld_Coefs!$D$8*Step1_Features!H25+Step3_Ld_Coefs!$D$9*Step1_Features!I25+Step3_Ld_Coefs!$D$10*Step1_Features!J25+Step3_Ld_Coefs!$D$11*Step1_Features!K25+Step3_Ld_Coefs!$D$12*Step1_Features!L25+Step3_Ld_Coefs!$D$13*Step1_Features!M25+Step3_Ld_Coefs!$D$14*Step1_Features!N25+Step3_Ld_Coefs!$D$15*Step1_Features!O25+Step3_Ld_Coefs!$D$16*Step1_Features!P25+Step3_Ld_Coefs!$D$17*Step1_Features!Q25+Step3_Ld_Coefs!$D$18*Step1_Features!R25</f>
        <v>490.57948164260699</v>
      </c>
      <c r="F24" s="35">
        <f t="shared" si="0"/>
        <v>-0.35284364260701295</v>
      </c>
      <c r="G24" s="17">
        <f t="shared" si="1"/>
        <v>0.12449863612818549</v>
      </c>
      <c r="H24" s="25">
        <f t="shared" si="2"/>
        <v>-7.1975616022524863E-2</v>
      </c>
    </row>
    <row r="25" spans="1:8" ht="15" customHeight="1" x14ac:dyDescent="0.25">
      <c r="A25" s="27">
        <v>23</v>
      </c>
      <c r="B25" s="21">
        <f>Raw_Data!B25</f>
        <v>-7.9822550000000003</v>
      </c>
      <c r="C25" s="21">
        <f>Raw_Data!C25</f>
        <v>29.790182000000001</v>
      </c>
      <c r="D25" s="24">
        <f>Raw_Data!D25</f>
        <v>494.89615400000002</v>
      </c>
      <c r="E25" s="24">
        <f>Step3_Ld_Coefs!$D$4*Step1_Features!D26+Step3_Ld_Coefs!$D$5*Step1_Features!E26+Step3_Ld_Coefs!$D$6*Step1_Features!F26+Step3_Ld_Coefs!$D$7*Step1_Features!G26+Step3_Ld_Coefs!$D$8*Step1_Features!H26+Step3_Ld_Coefs!$D$9*Step1_Features!I26+Step3_Ld_Coefs!$D$10*Step1_Features!J26+Step3_Ld_Coefs!$D$11*Step1_Features!K26+Step3_Ld_Coefs!$D$12*Step1_Features!L26+Step3_Ld_Coefs!$D$13*Step1_Features!M26+Step3_Ld_Coefs!$D$14*Step1_Features!N26+Step3_Ld_Coefs!$D$15*Step1_Features!O26+Step3_Ld_Coefs!$D$16*Step1_Features!P26+Step3_Ld_Coefs!$D$17*Step1_Features!Q26+Step3_Ld_Coefs!$D$18*Step1_Features!R26</f>
        <v>494.36471530383074</v>
      </c>
      <c r="F25" s="35">
        <f t="shared" si="0"/>
        <v>0.53143869616928896</v>
      </c>
      <c r="G25" s="21">
        <f t="shared" si="1"/>
        <v>0.28242708778611381</v>
      </c>
      <c r="H25" s="24">
        <f t="shared" si="2"/>
        <v>0.10738388081498182</v>
      </c>
    </row>
    <row r="26" spans="1:8" ht="15" customHeight="1" x14ac:dyDescent="0.25">
      <c r="A26" s="16">
        <v>24</v>
      </c>
      <c r="B26" s="21">
        <f>Raw_Data!B26</f>
        <v>-15.420533000000001</v>
      </c>
      <c r="C26" s="21">
        <f>Raw_Data!C26</f>
        <v>26.709147000000002</v>
      </c>
      <c r="D26" s="25">
        <f>Raw_Data!D26</f>
        <v>497.504144</v>
      </c>
      <c r="E26" s="25">
        <f>Step3_Ld_Coefs!$D$4*Step1_Features!D27+Step3_Ld_Coefs!$D$5*Step1_Features!E27+Step3_Ld_Coefs!$D$6*Step1_Features!F27+Step3_Ld_Coefs!$D$7*Step1_Features!G27+Step3_Ld_Coefs!$D$8*Step1_Features!H27+Step3_Ld_Coefs!$D$9*Step1_Features!I27+Step3_Ld_Coefs!$D$10*Step1_Features!J27+Step3_Ld_Coefs!$D$11*Step1_Features!K27+Step3_Ld_Coefs!$D$12*Step1_Features!L27+Step3_Ld_Coefs!$D$13*Step1_Features!M27+Step3_Ld_Coefs!$D$14*Step1_Features!N27+Step3_Ld_Coefs!$D$15*Step1_Features!O27+Step3_Ld_Coefs!$D$16*Step1_Features!P27+Step3_Ld_Coefs!$D$17*Step1_Features!Q27+Step3_Ld_Coefs!$D$18*Step1_Features!R27</f>
        <v>497.40621240538184</v>
      </c>
      <c r="F26" s="35">
        <f t="shared" si="0"/>
        <v>9.7931594618160034E-2</v>
      </c>
      <c r="G26" s="17">
        <f t="shared" si="1"/>
        <v>9.5905972244556305E-3</v>
      </c>
      <c r="H26" s="25">
        <f t="shared" si="2"/>
        <v>1.9684578671199979E-2</v>
      </c>
    </row>
    <row r="27" spans="1:8" ht="15" customHeight="1" x14ac:dyDescent="0.25">
      <c r="A27" s="27">
        <v>25</v>
      </c>
      <c r="B27" s="21">
        <f>Raw_Data!B27</f>
        <v>-21.807926999999999</v>
      </c>
      <c r="C27" s="21">
        <f>Raw_Data!C27</f>
        <v>21.807926999999999</v>
      </c>
      <c r="D27" s="24">
        <f>Raw_Data!D27</f>
        <v>499.44197300000002</v>
      </c>
      <c r="E27" s="24">
        <f>Step3_Ld_Coefs!$D$4*Step1_Features!D28+Step3_Ld_Coefs!$D$5*Step1_Features!E28+Step3_Ld_Coefs!$D$6*Step1_Features!F28+Step3_Ld_Coefs!$D$7*Step1_Features!G28+Step3_Ld_Coefs!$D$8*Step1_Features!H28+Step3_Ld_Coefs!$D$9*Step1_Features!I28+Step3_Ld_Coefs!$D$10*Step1_Features!J28+Step3_Ld_Coefs!$D$11*Step1_Features!K28+Step3_Ld_Coefs!$D$12*Step1_Features!L28+Step3_Ld_Coefs!$D$13*Step1_Features!M28+Step3_Ld_Coefs!$D$14*Step1_Features!N28+Step3_Ld_Coefs!$D$15*Step1_Features!O28+Step3_Ld_Coefs!$D$16*Step1_Features!P28+Step3_Ld_Coefs!$D$17*Step1_Features!Q28+Step3_Ld_Coefs!$D$18*Step1_Features!R28</f>
        <v>499.60285837353501</v>
      </c>
      <c r="F27" s="35">
        <f t="shared" si="0"/>
        <v>-0.16088537353499532</v>
      </c>
      <c r="G27" s="21">
        <f t="shared" si="1"/>
        <v>2.5884103417494975E-2</v>
      </c>
      <c r="H27" s="24">
        <f t="shared" si="2"/>
        <v>-3.2213026183723514E-2</v>
      </c>
    </row>
    <row r="28" spans="1:8" ht="15" customHeight="1" x14ac:dyDescent="0.25">
      <c r="A28" s="16">
        <v>26</v>
      </c>
      <c r="B28" s="21">
        <f>Raw_Data!B28</f>
        <v>-26.709147000000002</v>
      </c>
      <c r="C28" s="21">
        <f>Raw_Data!C28</f>
        <v>15.420533000000001</v>
      </c>
      <c r="D28" s="25">
        <f>Raw_Data!D28</f>
        <v>500.66694899999999</v>
      </c>
      <c r="E28" s="25">
        <f>Step3_Ld_Coefs!$D$4*Step1_Features!D29+Step3_Ld_Coefs!$D$5*Step1_Features!E29+Step3_Ld_Coefs!$D$6*Step1_Features!F29+Step3_Ld_Coefs!$D$7*Step1_Features!G29+Step3_Ld_Coefs!$D$8*Step1_Features!H29+Step3_Ld_Coefs!$D$9*Step1_Features!I29+Step3_Ld_Coefs!$D$10*Step1_Features!J29+Step3_Ld_Coefs!$D$11*Step1_Features!K29+Step3_Ld_Coefs!$D$12*Step1_Features!L29+Step3_Ld_Coefs!$D$13*Step1_Features!M29+Step3_Ld_Coefs!$D$14*Step1_Features!N29+Step3_Ld_Coefs!$D$15*Step1_Features!O29+Step3_Ld_Coefs!$D$16*Step1_Features!P29+Step3_Ld_Coefs!$D$17*Step1_Features!Q29+Step3_Ld_Coefs!$D$18*Step1_Features!R29</f>
        <v>500.95206982663382</v>
      </c>
      <c r="F28" s="35">
        <f t="shared" si="0"/>
        <v>-0.28512082663382898</v>
      </c>
      <c r="G28" s="17">
        <f t="shared" si="1"/>
        <v>8.1293885780357969E-2</v>
      </c>
      <c r="H28" s="25">
        <f t="shared" si="2"/>
        <v>-5.6948202233702672E-2</v>
      </c>
    </row>
    <row r="29" spans="1:8" ht="15" customHeight="1" x14ac:dyDescent="0.25">
      <c r="A29" s="27">
        <v>27</v>
      </c>
      <c r="B29" s="21">
        <f>Raw_Data!B29</f>
        <v>-29.790182000000001</v>
      </c>
      <c r="C29" s="21">
        <f>Raw_Data!C29</f>
        <v>7.9822550000000003</v>
      </c>
      <c r="D29" s="24">
        <f>Raw_Data!D29</f>
        <v>501.023257</v>
      </c>
      <c r="E29" s="24">
        <f>Step3_Ld_Coefs!$D$4*Step1_Features!D30+Step3_Ld_Coefs!$D$5*Step1_Features!E30+Step3_Ld_Coefs!$D$6*Step1_Features!F30+Step3_Ld_Coefs!$D$7*Step1_Features!G30+Step3_Ld_Coefs!$D$8*Step1_Features!H30+Step3_Ld_Coefs!$D$9*Step1_Features!I30+Step3_Ld_Coefs!$D$10*Step1_Features!J30+Step3_Ld_Coefs!$D$11*Step1_Features!K30+Step3_Ld_Coefs!$D$12*Step1_Features!L30+Step3_Ld_Coefs!$D$13*Step1_Features!M30+Step3_Ld_Coefs!$D$14*Step1_Features!N30+Step3_Ld_Coefs!$D$15*Step1_Features!O30+Step3_Ld_Coefs!$D$16*Step1_Features!P30+Step3_Ld_Coefs!$D$17*Step1_Features!Q30+Step3_Ld_Coefs!$D$18*Step1_Features!R30</f>
        <v>501.3535453463569</v>
      </c>
      <c r="F29" s="35">
        <f t="shared" si="0"/>
        <v>-0.33028834635689464</v>
      </c>
      <c r="G29" s="21">
        <f t="shared" si="1"/>
        <v>0.109090391739172</v>
      </c>
      <c r="H29" s="24">
        <f t="shared" si="2"/>
        <v>-6.5922757425389264E-2</v>
      </c>
    </row>
    <row r="30" spans="1:8" ht="15" customHeight="1" x14ac:dyDescent="0.25">
      <c r="A30" s="16">
        <v>28</v>
      </c>
      <c r="B30" s="21">
        <f>Raw_Data!B30</f>
        <v>-30.841066000000001</v>
      </c>
      <c r="C30" s="21">
        <f>Raw_Data!C30</f>
        <v>0</v>
      </c>
      <c r="D30" s="25">
        <f>Raw_Data!D30</f>
        <v>500.70092099999999</v>
      </c>
      <c r="E30" s="25">
        <f>Step3_Ld_Coefs!$D$4*Step1_Features!D31+Step3_Ld_Coefs!$D$5*Step1_Features!E31+Step3_Ld_Coefs!$D$6*Step1_Features!F31+Step3_Ld_Coefs!$D$7*Step1_Features!G31+Step3_Ld_Coefs!$D$8*Step1_Features!H31+Step3_Ld_Coefs!$D$9*Step1_Features!I31+Step3_Ld_Coefs!$D$10*Step1_Features!J31+Step3_Ld_Coefs!$D$11*Step1_Features!K31+Step3_Ld_Coefs!$D$12*Step1_Features!L31+Step3_Ld_Coefs!$D$13*Step1_Features!M31+Step3_Ld_Coefs!$D$14*Step1_Features!N31+Step3_Ld_Coefs!$D$15*Step1_Features!O31+Step3_Ld_Coefs!$D$16*Step1_Features!P31+Step3_Ld_Coefs!$D$17*Step1_Features!Q31+Step3_Ld_Coefs!$D$18*Step1_Features!R31</f>
        <v>500.50917684078422</v>
      </c>
      <c r="F30" s="35">
        <f t="shared" si="0"/>
        <v>0.19174415921577292</v>
      </c>
      <c r="G30" s="17">
        <f t="shared" si="1"/>
        <v>3.6765822593363674E-2</v>
      </c>
      <c r="H30" s="25">
        <f t="shared" si="2"/>
        <v>3.8295148096157174E-2</v>
      </c>
    </row>
    <row r="31" spans="1:8" ht="15" customHeight="1" x14ac:dyDescent="0.25">
      <c r="A31" s="27">
        <v>29</v>
      </c>
      <c r="B31" s="21">
        <f>Raw_Data!B31</f>
        <v>0</v>
      </c>
      <c r="C31" s="21">
        <f>Raw_Data!C31</f>
        <v>41.121420999999998</v>
      </c>
      <c r="D31" s="24">
        <f>Raw_Data!D31</f>
        <v>483.98091099999999</v>
      </c>
      <c r="E31" s="24">
        <f>Step3_Ld_Coefs!$D$4*Step1_Features!D32+Step3_Ld_Coefs!$D$5*Step1_Features!E32+Step3_Ld_Coefs!$D$6*Step1_Features!F32+Step3_Ld_Coefs!$D$7*Step1_Features!G32+Step3_Ld_Coefs!$D$8*Step1_Features!H32+Step3_Ld_Coefs!$D$9*Step1_Features!I32+Step3_Ld_Coefs!$D$10*Step1_Features!J32+Step3_Ld_Coefs!$D$11*Step1_Features!K32+Step3_Ld_Coefs!$D$12*Step1_Features!L32+Step3_Ld_Coefs!$D$13*Step1_Features!M32+Step3_Ld_Coefs!$D$14*Step1_Features!N32+Step3_Ld_Coefs!$D$15*Step1_Features!O32+Step3_Ld_Coefs!$D$16*Step1_Features!P32+Step3_Ld_Coefs!$D$17*Step1_Features!Q32+Step3_Ld_Coefs!$D$18*Step1_Features!R32</f>
        <v>484.19996966029572</v>
      </c>
      <c r="F31" s="35">
        <f t="shared" si="0"/>
        <v>-0.21905866029572962</v>
      </c>
      <c r="G31" s="21">
        <f t="shared" si="1"/>
        <v>4.7986696650559872E-2</v>
      </c>
      <c r="H31" s="24">
        <f t="shared" si="2"/>
        <v>-4.5261838910776717E-2</v>
      </c>
    </row>
    <row r="32" spans="1:8" ht="15" customHeight="1" x14ac:dyDescent="0.25">
      <c r="A32" s="16">
        <v>30</v>
      </c>
      <c r="B32" s="21">
        <f>Raw_Data!B32</f>
        <v>-10.643007000000001</v>
      </c>
      <c r="C32" s="21">
        <f>Raw_Data!C32</f>
        <v>39.720243000000004</v>
      </c>
      <c r="D32" s="25">
        <f>Raw_Data!D32</f>
        <v>491.16029800000001</v>
      </c>
      <c r="E32" s="25">
        <f>Step3_Ld_Coefs!$D$4*Step1_Features!D33+Step3_Ld_Coefs!$D$5*Step1_Features!E33+Step3_Ld_Coefs!$D$6*Step1_Features!F33+Step3_Ld_Coefs!$D$7*Step1_Features!G33+Step3_Ld_Coefs!$D$8*Step1_Features!H33+Step3_Ld_Coefs!$D$9*Step1_Features!I33+Step3_Ld_Coefs!$D$10*Step1_Features!J33+Step3_Ld_Coefs!$D$11*Step1_Features!K33+Step3_Ld_Coefs!$D$12*Step1_Features!L33+Step3_Ld_Coefs!$D$13*Step1_Features!M33+Step3_Ld_Coefs!$D$14*Step1_Features!N33+Step3_Ld_Coefs!$D$15*Step1_Features!O33+Step3_Ld_Coefs!$D$16*Step1_Features!P33+Step3_Ld_Coefs!$D$17*Step1_Features!Q33+Step3_Ld_Coefs!$D$18*Step1_Features!R33</f>
        <v>490.31482704900804</v>
      </c>
      <c r="F32" s="35">
        <f t="shared" si="0"/>
        <v>0.84547095099196667</v>
      </c>
      <c r="G32" s="17">
        <f t="shared" si="1"/>
        <v>0.71482112897126049</v>
      </c>
      <c r="H32" s="25">
        <f t="shared" si="2"/>
        <v>0.17213747821937486</v>
      </c>
    </row>
    <row r="33" spans="1:8" ht="15" customHeight="1" x14ac:dyDescent="0.25">
      <c r="A33" s="27">
        <v>31</v>
      </c>
      <c r="B33" s="21">
        <f>Raw_Data!B33</f>
        <v>-20.560711000000001</v>
      </c>
      <c r="C33" s="21">
        <f>Raw_Data!C33</f>
        <v>35.612195999999997</v>
      </c>
      <c r="D33" s="24">
        <f>Raw_Data!D33</f>
        <v>494.63863600000002</v>
      </c>
      <c r="E33" s="24">
        <f>Step3_Ld_Coefs!$D$4*Step1_Features!D34+Step3_Ld_Coefs!$D$5*Step1_Features!E34+Step3_Ld_Coefs!$D$6*Step1_Features!F34+Step3_Ld_Coefs!$D$7*Step1_Features!G34+Step3_Ld_Coefs!$D$8*Step1_Features!H34+Step3_Ld_Coefs!$D$9*Step1_Features!I34+Step3_Ld_Coefs!$D$10*Step1_Features!J34+Step3_Ld_Coefs!$D$11*Step1_Features!K34+Step3_Ld_Coefs!$D$12*Step1_Features!L34+Step3_Ld_Coefs!$D$13*Step1_Features!M34+Step3_Ld_Coefs!$D$14*Step1_Features!N34+Step3_Ld_Coefs!$D$15*Step1_Features!O34+Step3_Ld_Coefs!$D$16*Step1_Features!P34+Step3_Ld_Coefs!$D$17*Step1_Features!Q34+Step3_Ld_Coefs!$D$18*Step1_Features!R34</f>
        <v>494.77957573025407</v>
      </c>
      <c r="F33" s="35">
        <f t="shared" si="0"/>
        <v>-0.14093973025404694</v>
      </c>
      <c r="G33" s="21">
        <f t="shared" si="1"/>
        <v>1.9864007564083512E-2</v>
      </c>
      <c r="H33" s="24">
        <f t="shared" si="2"/>
        <v>-2.8493473820360229E-2</v>
      </c>
    </row>
    <row r="34" spans="1:8" ht="15" customHeight="1" x14ac:dyDescent="0.25">
      <c r="A34" s="16">
        <v>32</v>
      </c>
      <c r="B34" s="21">
        <f>Raw_Data!B34</f>
        <v>-29.077235999999999</v>
      </c>
      <c r="C34" s="21">
        <f>Raw_Data!C34</f>
        <v>29.077235999999999</v>
      </c>
      <c r="D34" s="25">
        <f>Raw_Data!D34</f>
        <v>497.253691</v>
      </c>
      <c r="E34" s="25">
        <f>Step3_Ld_Coefs!$D$4*Step1_Features!D35+Step3_Ld_Coefs!$D$5*Step1_Features!E35+Step3_Ld_Coefs!$D$6*Step1_Features!F35+Step3_Ld_Coefs!$D$7*Step1_Features!G35+Step3_Ld_Coefs!$D$8*Step1_Features!H35+Step3_Ld_Coefs!$D$9*Step1_Features!I35+Step3_Ld_Coefs!$D$10*Step1_Features!J35+Step3_Ld_Coefs!$D$11*Step1_Features!K35+Step3_Ld_Coefs!$D$12*Step1_Features!L35+Step3_Ld_Coefs!$D$13*Step1_Features!M35+Step3_Ld_Coefs!$D$14*Step1_Features!N35+Step3_Ld_Coefs!$D$15*Step1_Features!O35+Step3_Ld_Coefs!$D$16*Step1_Features!P35+Step3_Ld_Coefs!$D$17*Step1_Features!Q35+Step3_Ld_Coefs!$D$18*Step1_Features!R35</f>
        <v>497.78109486065597</v>
      </c>
      <c r="F34" s="35">
        <f t="shared" si="0"/>
        <v>-0.52740386065596567</v>
      </c>
      <c r="G34" s="17">
        <f t="shared" si="1"/>
        <v>0.27815483223481724</v>
      </c>
      <c r="H34" s="25">
        <f t="shared" si="2"/>
        <v>-0.1060633375280397</v>
      </c>
    </row>
    <row r="35" spans="1:8" ht="15" customHeight="1" x14ac:dyDescent="0.25">
      <c r="A35" s="27">
        <v>33</v>
      </c>
      <c r="B35" s="21">
        <f>Raw_Data!B35</f>
        <v>-35.612195999999997</v>
      </c>
      <c r="C35" s="21">
        <f>Raw_Data!C35</f>
        <v>20.560711000000001</v>
      </c>
      <c r="D35" s="24">
        <f>Raw_Data!D35</f>
        <v>499.18772100000001</v>
      </c>
      <c r="E35" s="24">
        <f>Step3_Ld_Coefs!$D$4*Step1_Features!D36+Step3_Ld_Coefs!$D$5*Step1_Features!E36+Step3_Ld_Coefs!$D$6*Step1_Features!F36+Step3_Ld_Coefs!$D$7*Step1_Features!G36+Step3_Ld_Coefs!$D$8*Step1_Features!H36+Step3_Ld_Coefs!$D$9*Step1_Features!I36+Step3_Ld_Coefs!$D$10*Step1_Features!J36+Step3_Ld_Coefs!$D$11*Step1_Features!K36+Step3_Ld_Coefs!$D$12*Step1_Features!L36+Step3_Ld_Coefs!$D$13*Step1_Features!M36+Step3_Ld_Coefs!$D$14*Step1_Features!N36+Step3_Ld_Coefs!$D$15*Step1_Features!O36+Step3_Ld_Coefs!$D$16*Step1_Features!P36+Step3_Ld_Coefs!$D$17*Step1_Features!Q36+Step3_Ld_Coefs!$D$18*Step1_Features!R36</f>
        <v>499.63042024544137</v>
      </c>
      <c r="F35" s="35">
        <f t="shared" ref="F35:F66" si="3">D35-E35</f>
        <v>-0.44269924544136074</v>
      </c>
      <c r="G35" s="21">
        <f t="shared" ref="G35:G66" si="4">F35^2</f>
        <v>0.19598262191435017</v>
      </c>
      <c r="H35" s="24">
        <f t="shared" ref="H35:H66" si="5">F35/D35*100</f>
        <v>-8.8683921262029744E-2</v>
      </c>
    </row>
    <row r="36" spans="1:8" ht="15" customHeight="1" x14ac:dyDescent="0.25">
      <c r="A36" s="16">
        <v>34</v>
      </c>
      <c r="B36" s="21">
        <f>Raw_Data!B36</f>
        <v>-39.720243000000004</v>
      </c>
      <c r="C36" s="21">
        <f>Raw_Data!C36</f>
        <v>10.643007000000001</v>
      </c>
      <c r="D36" s="25">
        <f>Raw_Data!D36</f>
        <v>500.208527</v>
      </c>
      <c r="E36" s="25">
        <f>Step3_Ld_Coefs!$D$4*Step1_Features!D37+Step3_Ld_Coefs!$D$5*Step1_Features!E37+Step3_Ld_Coefs!$D$6*Step1_Features!F37+Step3_Ld_Coefs!$D$7*Step1_Features!G37+Step3_Ld_Coefs!$D$8*Step1_Features!H37+Step3_Ld_Coefs!$D$9*Step1_Features!I37+Step3_Ld_Coefs!$D$10*Step1_Features!J37+Step3_Ld_Coefs!$D$11*Step1_Features!K37+Step3_Ld_Coefs!$D$12*Step1_Features!L37+Step3_Ld_Coefs!$D$13*Step1_Features!M37+Step3_Ld_Coefs!$D$14*Step1_Features!N37+Step3_Ld_Coefs!$D$15*Step1_Features!O37+Step3_Ld_Coefs!$D$16*Step1_Features!P37+Step3_Ld_Coefs!$D$17*Step1_Features!Q37+Step3_Ld_Coefs!$D$18*Step1_Features!R37</f>
        <v>500.34996690021694</v>
      </c>
      <c r="F36" s="35">
        <f t="shared" si="3"/>
        <v>-0.14143990021693753</v>
      </c>
      <c r="G36" s="17">
        <f t="shared" si="4"/>
        <v>2.0005245373377244E-2</v>
      </c>
      <c r="H36" s="25">
        <f t="shared" si="5"/>
        <v>-2.8276187346349964E-2</v>
      </c>
    </row>
    <row r="37" spans="1:8" ht="15" customHeight="1" x14ac:dyDescent="0.25">
      <c r="A37" s="27">
        <v>35</v>
      </c>
      <c r="B37" s="21">
        <f>Raw_Data!B37</f>
        <v>-41.121420999999998</v>
      </c>
      <c r="C37" s="21">
        <f>Raw_Data!C37</f>
        <v>0</v>
      </c>
      <c r="D37" s="24">
        <f>Raw_Data!D37</f>
        <v>500.025307</v>
      </c>
      <c r="E37" s="24">
        <f>Step3_Ld_Coefs!$D$4*Step1_Features!D38+Step3_Ld_Coefs!$D$5*Step1_Features!E38+Step3_Ld_Coefs!$D$6*Step1_Features!F38+Step3_Ld_Coefs!$D$7*Step1_Features!G38+Step3_Ld_Coefs!$D$8*Step1_Features!H38+Step3_Ld_Coefs!$D$9*Step1_Features!I38+Step3_Ld_Coefs!$D$10*Step1_Features!J38+Step3_Ld_Coefs!$D$11*Step1_Features!K38+Step3_Ld_Coefs!$D$12*Step1_Features!L38+Step3_Ld_Coefs!$D$13*Step1_Features!M38+Step3_Ld_Coefs!$D$14*Step1_Features!N38+Step3_Ld_Coefs!$D$15*Step1_Features!O38+Step3_Ld_Coefs!$D$16*Step1_Features!P38+Step3_Ld_Coefs!$D$17*Step1_Features!Q38+Step3_Ld_Coefs!$D$18*Step1_Features!R38</f>
        <v>499.40323399023947</v>
      </c>
      <c r="F37" s="35">
        <f t="shared" si="3"/>
        <v>0.62207300976052693</v>
      </c>
      <c r="G37" s="21">
        <f t="shared" si="4"/>
        <v>0.38697482947252065</v>
      </c>
      <c r="H37" s="24">
        <f t="shared" si="5"/>
        <v>0.12440830515014852</v>
      </c>
    </row>
    <row r="38" spans="1:8" ht="15" customHeight="1" x14ac:dyDescent="0.25">
      <c r="A38" s="16">
        <v>36</v>
      </c>
      <c r="B38" s="21">
        <f>Raw_Data!B38</f>
        <v>0</v>
      </c>
      <c r="C38" s="21">
        <f>Raw_Data!C38</f>
        <v>51.401777000000003</v>
      </c>
      <c r="D38" s="25">
        <f>Raw_Data!D38</f>
        <v>477.10016400000001</v>
      </c>
      <c r="E38" s="25">
        <f>Step3_Ld_Coefs!$D$4*Step1_Features!D39+Step3_Ld_Coefs!$D$5*Step1_Features!E39+Step3_Ld_Coefs!$D$6*Step1_Features!F39+Step3_Ld_Coefs!$D$7*Step1_Features!G39+Step3_Ld_Coefs!$D$8*Step1_Features!H39+Step3_Ld_Coefs!$D$9*Step1_Features!I39+Step3_Ld_Coefs!$D$10*Step1_Features!J39+Step3_Ld_Coefs!$D$11*Step1_Features!K39+Step3_Ld_Coefs!$D$12*Step1_Features!L39+Step3_Ld_Coefs!$D$13*Step1_Features!M39+Step3_Ld_Coefs!$D$14*Step1_Features!N39+Step3_Ld_Coefs!$D$15*Step1_Features!O39+Step3_Ld_Coefs!$D$16*Step1_Features!P39+Step3_Ld_Coefs!$D$17*Step1_Features!Q39+Step3_Ld_Coefs!$D$18*Step1_Features!R39</f>
        <v>477.20621523097662</v>
      </c>
      <c r="F38" s="35">
        <f t="shared" si="3"/>
        <v>-0.10605123097661817</v>
      </c>
      <c r="G38" s="17">
        <f t="shared" si="4"/>
        <v>1.1246863591656017E-2</v>
      </c>
      <c r="H38" s="25">
        <f t="shared" si="5"/>
        <v>-2.222829480658451E-2</v>
      </c>
    </row>
    <row r="39" spans="1:8" ht="15" customHeight="1" x14ac:dyDescent="0.25">
      <c r="A39" s="27">
        <v>37</v>
      </c>
      <c r="B39" s="21">
        <f>Raw_Data!B39</f>
        <v>-13.303758999999999</v>
      </c>
      <c r="C39" s="21">
        <f>Raw_Data!C39</f>
        <v>49.650303999999998</v>
      </c>
      <c r="D39" s="24">
        <f>Raw_Data!D39</f>
        <v>487.29663799999997</v>
      </c>
      <c r="E39" s="24">
        <f>Step3_Ld_Coefs!$D$4*Step1_Features!D40+Step3_Ld_Coefs!$D$5*Step1_Features!E40+Step3_Ld_Coefs!$D$6*Step1_Features!F40+Step3_Ld_Coefs!$D$7*Step1_Features!G40+Step3_Ld_Coefs!$D$8*Step1_Features!H40+Step3_Ld_Coefs!$D$9*Step1_Features!I40+Step3_Ld_Coefs!$D$10*Step1_Features!J40+Step3_Ld_Coefs!$D$11*Step1_Features!K40+Step3_Ld_Coefs!$D$12*Step1_Features!L40+Step3_Ld_Coefs!$D$13*Step1_Features!M40+Step3_Ld_Coefs!$D$14*Step1_Features!N40+Step3_Ld_Coefs!$D$15*Step1_Features!O40+Step3_Ld_Coefs!$D$16*Step1_Features!P40+Step3_Ld_Coefs!$D$17*Step1_Features!Q40+Step3_Ld_Coefs!$D$18*Step1_Features!R40</f>
        <v>486.12740193363521</v>
      </c>
      <c r="F39" s="35">
        <f t="shared" si="3"/>
        <v>1.1692360663647605</v>
      </c>
      <c r="G39" s="21">
        <f t="shared" si="4"/>
        <v>1.3671129788881387</v>
      </c>
      <c r="H39" s="24">
        <f t="shared" si="5"/>
        <v>0.23994338872593671</v>
      </c>
    </row>
    <row r="40" spans="1:8" ht="15" customHeight="1" x14ac:dyDescent="0.25">
      <c r="A40" s="16">
        <v>38</v>
      </c>
      <c r="B40" s="21">
        <f>Raw_Data!B40</f>
        <v>-25.700887999999999</v>
      </c>
      <c r="C40" s="21">
        <f>Raw_Data!C40</f>
        <v>44.515244000000003</v>
      </c>
      <c r="D40" s="25">
        <f>Raw_Data!D40</f>
        <v>492.00498599999997</v>
      </c>
      <c r="E40" s="25">
        <f>Step3_Ld_Coefs!$D$4*Step1_Features!D41+Step3_Ld_Coefs!$D$5*Step1_Features!E41+Step3_Ld_Coefs!$D$6*Step1_Features!F41+Step3_Ld_Coefs!$D$7*Step1_Features!G41+Step3_Ld_Coefs!$D$8*Step1_Features!H41+Step3_Ld_Coefs!$D$9*Step1_Features!I41+Step3_Ld_Coefs!$D$10*Step1_Features!J41+Step3_Ld_Coefs!$D$11*Step1_Features!K41+Step3_Ld_Coefs!$D$12*Step1_Features!L41+Step3_Ld_Coefs!$D$13*Step1_Features!M41+Step3_Ld_Coefs!$D$14*Step1_Features!N41+Step3_Ld_Coefs!$D$15*Step1_Features!O41+Step3_Ld_Coefs!$D$16*Step1_Features!P41+Step3_Ld_Coefs!$D$17*Step1_Features!Q41+Step3_Ld_Coefs!$D$18*Step1_Features!R41</f>
        <v>492.06683512649556</v>
      </c>
      <c r="F40" s="35">
        <f t="shared" si="3"/>
        <v>-6.1849126495587825E-2</v>
      </c>
      <c r="G40" s="17">
        <f t="shared" si="4"/>
        <v>3.8253144482672239E-3</v>
      </c>
      <c r="H40" s="25">
        <f t="shared" si="5"/>
        <v>-1.2570833275170879E-2</v>
      </c>
    </row>
    <row r="41" spans="1:8" ht="15" customHeight="1" x14ac:dyDescent="0.25">
      <c r="A41" s="27">
        <v>39</v>
      </c>
      <c r="B41" s="21">
        <f>Raw_Data!B41</f>
        <v>-36.346544999999999</v>
      </c>
      <c r="C41" s="21">
        <f>Raw_Data!C41</f>
        <v>36.346544999999999</v>
      </c>
      <c r="D41" s="24">
        <f>Raw_Data!D41</f>
        <v>495.124236</v>
      </c>
      <c r="E41" s="24">
        <f>Step3_Ld_Coefs!$D$4*Step1_Features!D42+Step3_Ld_Coefs!$D$5*Step1_Features!E42+Step3_Ld_Coefs!$D$6*Step1_Features!F42+Step3_Ld_Coefs!$D$7*Step1_Features!G42+Step3_Ld_Coefs!$D$8*Step1_Features!H42+Step3_Ld_Coefs!$D$9*Step1_Features!I42+Step3_Ld_Coefs!$D$10*Step1_Features!J42+Step3_Ld_Coefs!$D$11*Step1_Features!K42+Step3_Ld_Coefs!$D$12*Step1_Features!L42+Step3_Ld_Coefs!$D$13*Step1_Features!M42+Step3_Ld_Coefs!$D$14*Step1_Features!N42+Step3_Ld_Coefs!$D$15*Step1_Features!O42+Step3_Ld_Coefs!$D$16*Step1_Features!P42+Step3_Ld_Coefs!$D$17*Step1_Features!Q42+Step3_Ld_Coefs!$D$18*Step1_Features!R42</f>
        <v>495.75521428754797</v>
      </c>
      <c r="F41" s="35">
        <f t="shared" si="3"/>
        <v>-0.63097828754797547</v>
      </c>
      <c r="G41" s="21">
        <f t="shared" si="4"/>
        <v>0.39813359935697562</v>
      </c>
      <c r="H41" s="24">
        <f t="shared" si="5"/>
        <v>-0.12743837640538677</v>
      </c>
    </row>
    <row r="42" spans="1:8" ht="15" customHeight="1" x14ac:dyDescent="0.25">
      <c r="A42" s="16">
        <v>40</v>
      </c>
      <c r="B42" s="21">
        <f>Raw_Data!B42</f>
        <v>-44.515244000000003</v>
      </c>
      <c r="C42" s="21">
        <f>Raw_Data!C42</f>
        <v>25.700887999999999</v>
      </c>
      <c r="D42" s="25">
        <f>Raw_Data!D42</f>
        <v>497.59797099999997</v>
      </c>
      <c r="E42" s="25">
        <f>Step3_Ld_Coefs!$D$4*Step1_Features!D43+Step3_Ld_Coefs!$D$5*Step1_Features!E43+Step3_Ld_Coefs!$D$6*Step1_Features!F43+Step3_Ld_Coefs!$D$7*Step1_Features!G43+Step3_Ld_Coefs!$D$8*Step1_Features!H43+Step3_Ld_Coefs!$D$9*Step1_Features!I43+Step3_Ld_Coefs!$D$10*Step1_Features!J43+Step3_Ld_Coefs!$D$11*Step1_Features!K43+Step3_Ld_Coefs!$D$12*Step1_Features!L43+Step3_Ld_Coefs!$D$13*Step1_Features!M43+Step3_Ld_Coefs!$D$14*Step1_Features!N43+Step3_Ld_Coefs!$D$15*Step1_Features!O43+Step3_Ld_Coefs!$D$16*Step1_Features!P43+Step3_Ld_Coefs!$D$17*Step1_Features!Q43+Step3_Ld_Coefs!$D$18*Step1_Features!R43</f>
        <v>498.00138444603812</v>
      </c>
      <c r="F42" s="35">
        <f t="shared" si="3"/>
        <v>-0.40341344603814377</v>
      </c>
      <c r="G42" s="17">
        <f t="shared" si="4"/>
        <v>0.16274240844437035</v>
      </c>
      <c r="H42" s="25">
        <f t="shared" si="5"/>
        <v>-8.1072164588497447E-2</v>
      </c>
    </row>
    <row r="43" spans="1:8" ht="15" customHeight="1" x14ac:dyDescent="0.25">
      <c r="A43" s="27">
        <v>41</v>
      </c>
      <c r="B43" s="21">
        <f>Raw_Data!B43</f>
        <v>-49.650303999999998</v>
      </c>
      <c r="C43" s="21">
        <f>Raw_Data!C43</f>
        <v>13.303758999999999</v>
      </c>
      <c r="D43" s="24">
        <f>Raw_Data!D43</f>
        <v>499.02302600000002</v>
      </c>
      <c r="E43" s="24">
        <f>Step3_Ld_Coefs!$D$4*Step1_Features!D44+Step3_Ld_Coefs!$D$5*Step1_Features!E44+Step3_Ld_Coefs!$D$6*Step1_Features!F44+Step3_Ld_Coefs!$D$7*Step1_Features!G44+Step3_Ld_Coefs!$D$8*Step1_Features!H44+Step3_Ld_Coefs!$D$9*Step1_Features!I44+Step3_Ld_Coefs!$D$10*Step1_Features!J44+Step3_Ld_Coefs!$D$11*Step1_Features!K44+Step3_Ld_Coefs!$D$12*Step1_Features!L44+Step3_Ld_Coefs!$D$13*Step1_Features!M44+Step3_Ld_Coefs!$D$14*Step1_Features!N44+Step3_Ld_Coefs!$D$15*Step1_Features!O44+Step3_Ld_Coefs!$D$16*Step1_Features!P44+Step3_Ld_Coefs!$D$17*Step1_Features!Q44+Step3_Ld_Coefs!$D$18*Step1_Features!R44</f>
        <v>499.09005147208813</v>
      </c>
      <c r="F43" s="35">
        <f t="shared" si="3"/>
        <v>-6.7025472088118931E-2</v>
      </c>
      <c r="G43" s="21">
        <f t="shared" si="4"/>
        <v>4.4924139086352103E-3</v>
      </c>
      <c r="H43" s="24">
        <f t="shared" si="5"/>
        <v>-1.3431338554730122E-2</v>
      </c>
    </row>
    <row r="44" spans="1:8" ht="15" customHeight="1" x14ac:dyDescent="0.25">
      <c r="A44" s="16">
        <v>42</v>
      </c>
      <c r="B44" s="21">
        <f>Raw_Data!B44</f>
        <v>-51.401777000000003</v>
      </c>
      <c r="C44" s="21">
        <f>Raw_Data!C44</f>
        <v>0</v>
      </c>
      <c r="D44" s="25">
        <f>Raw_Data!D44</f>
        <v>499.13432799999998</v>
      </c>
      <c r="E44" s="25">
        <f>Step3_Ld_Coefs!$D$4*Step1_Features!D45+Step3_Ld_Coefs!$D$5*Step1_Features!E45+Step3_Ld_Coefs!$D$6*Step1_Features!F45+Step3_Ld_Coefs!$D$7*Step1_Features!G45+Step3_Ld_Coefs!$D$8*Step1_Features!H45+Step3_Ld_Coefs!$D$9*Step1_Features!I45+Step3_Ld_Coefs!$D$10*Step1_Features!J45+Step3_Ld_Coefs!$D$11*Step1_Features!K45+Step3_Ld_Coefs!$D$12*Step1_Features!L45+Step3_Ld_Coefs!$D$13*Step1_Features!M45+Step3_Ld_Coefs!$D$14*Step1_Features!N45+Step3_Ld_Coefs!$D$15*Step1_Features!O45+Step3_Ld_Coefs!$D$16*Step1_Features!P45+Step3_Ld_Coefs!$D$17*Step1_Features!Q45+Step3_Ld_Coefs!$D$18*Step1_Features!R45</f>
        <v>498.25596266461758</v>
      </c>
      <c r="F44" s="35">
        <f t="shared" si="3"/>
        <v>0.87836533538239792</v>
      </c>
      <c r="G44" s="17">
        <f t="shared" si="4"/>
        <v>0.77152566240143239</v>
      </c>
      <c r="H44" s="25">
        <f t="shared" si="5"/>
        <v>0.17597774508957395</v>
      </c>
    </row>
    <row r="45" spans="1:8" ht="15" customHeight="1" x14ac:dyDescent="0.25">
      <c r="A45" s="27">
        <v>43</v>
      </c>
      <c r="B45" s="21">
        <f>Raw_Data!B45</f>
        <v>0</v>
      </c>
      <c r="C45" s="21">
        <f>Raw_Data!C45</f>
        <v>61.682132000000003</v>
      </c>
      <c r="D45" s="24">
        <f>Raw_Data!D45</f>
        <v>469.27257800000001</v>
      </c>
      <c r="E45" s="24">
        <f>Step3_Ld_Coefs!$D$4*Step1_Features!D46+Step3_Ld_Coefs!$D$5*Step1_Features!E46+Step3_Ld_Coefs!$D$6*Step1_Features!F46+Step3_Ld_Coefs!$D$7*Step1_Features!G46+Step3_Ld_Coefs!$D$8*Step1_Features!H46+Step3_Ld_Coefs!$D$9*Step1_Features!I46+Step3_Ld_Coefs!$D$10*Step1_Features!J46+Step3_Ld_Coefs!$D$11*Step1_Features!K46+Step3_Ld_Coefs!$D$12*Step1_Features!L46+Step3_Ld_Coefs!$D$13*Step1_Features!M46+Step3_Ld_Coefs!$D$14*Step1_Features!N46+Step3_Ld_Coefs!$D$15*Step1_Features!O46+Step3_Ld_Coefs!$D$16*Step1_Features!P46+Step3_Ld_Coefs!$D$17*Step1_Features!Q46+Step3_Ld_Coefs!$D$18*Step1_Features!R46</f>
        <v>469.7749064580434</v>
      </c>
      <c r="F45" s="35">
        <f t="shared" si="3"/>
        <v>-0.50232845804339377</v>
      </c>
      <c r="G45" s="21">
        <f t="shared" si="4"/>
        <v>0.25233387976025362</v>
      </c>
      <c r="H45" s="24">
        <f t="shared" si="5"/>
        <v>-0.10704406811586457</v>
      </c>
    </row>
    <row r="46" spans="1:8" ht="15" customHeight="1" x14ac:dyDescent="0.25">
      <c r="A46" s="16">
        <v>44</v>
      </c>
      <c r="B46" s="21">
        <f>Raw_Data!B46</f>
        <v>-15.964511</v>
      </c>
      <c r="C46" s="21">
        <f>Raw_Data!C46</f>
        <v>59.580364000000003</v>
      </c>
      <c r="D46" s="25">
        <f>Raw_Data!D46</f>
        <v>483.20115299999998</v>
      </c>
      <c r="E46" s="25">
        <f>Step3_Ld_Coefs!$D$4*Step1_Features!D47+Step3_Ld_Coefs!$D$5*Step1_Features!E47+Step3_Ld_Coefs!$D$6*Step1_Features!F47+Step3_Ld_Coefs!$D$7*Step1_Features!G47+Step3_Ld_Coefs!$D$8*Step1_Features!H47+Step3_Ld_Coefs!$D$9*Step1_Features!I47+Step3_Ld_Coefs!$D$10*Step1_Features!J47+Step3_Ld_Coefs!$D$11*Step1_Features!K47+Step3_Ld_Coefs!$D$12*Step1_Features!L47+Step3_Ld_Coefs!$D$13*Step1_Features!M47+Step3_Ld_Coefs!$D$14*Step1_Features!N47+Step3_Ld_Coefs!$D$15*Step1_Features!O47+Step3_Ld_Coefs!$D$16*Step1_Features!P47+Step3_Ld_Coefs!$D$17*Step1_Features!Q47+Step3_Ld_Coefs!$D$18*Step1_Features!R47</f>
        <v>481.92338638042349</v>
      </c>
      <c r="F46" s="35">
        <f t="shared" si="3"/>
        <v>1.2777666195764823</v>
      </c>
      <c r="G46" s="17">
        <f t="shared" si="4"/>
        <v>1.6326875341039109</v>
      </c>
      <c r="H46" s="25">
        <f t="shared" si="5"/>
        <v>0.26443782504312074</v>
      </c>
    </row>
    <row r="47" spans="1:8" ht="15" customHeight="1" x14ac:dyDescent="0.25">
      <c r="A47" s="27">
        <v>45</v>
      </c>
      <c r="B47" s="21">
        <f>Raw_Data!B47</f>
        <v>-30.841066000000001</v>
      </c>
      <c r="C47" s="21">
        <f>Raw_Data!C47</f>
        <v>53.418292999999998</v>
      </c>
      <c r="D47" s="24">
        <f>Raw_Data!D47</f>
        <v>489.561826</v>
      </c>
      <c r="E47" s="24">
        <f>Step3_Ld_Coefs!$D$4*Step1_Features!D48+Step3_Ld_Coefs!$D$5*Step1_Features!E48+Step3_Ld_Coefs!$D$6*Step1_Features!F48+Step3_Ld_Coefs!$D$7*Step1_Features!G48+Step3_Ld_Coefs!$D$8*Step1_Features!H48+Step3_Ld_Coefs!$D$9*Step1_Features!I48+Step3_Ld_Coefs!$D$10*Step1_Features!J48+Step3_Ld_Coefs!$D$11*Step1_Features!K48+Step3_Ld_Coefs!$D$12*Step1_Features!L48+Step3_Ld_Coefs!$D$13*Step1_Features!M48+Step3_Ld_Coefs!$D$14*Step1_Features!N48+Step3_Ld_Coefs!$D$15*Step1_Features!O48+Step3_Ld_Coefs!$D$16*Step1_Features!P48+Step3_Ld_Coefs!$D$17*Step1_Features!Q48+Step3_Ld_Coefs!$D$18*Step1_Features!R48</f>
        <v>489.40467709743609</v>
      </c>
      <c r="F47" s="35">
        <f t="shared" si="3"/>
        <v>0.1571489025639039</v>
      </c>
      <c r="G47" s="21">
        <f t="shared" si="4"/>
        <v>2.4695777577039363E-2</v>
      </c>
      <c r="H47" s="24">
        <f t="shared" si="5"/>
        <v>3.2099909392016998E-2</v>
      </c>
    </row>
    <row r="48" spans="1:8" ht="15" customHeight="1" x14ac:dyDescent="0.25">
      <c r="A48" s="16">
        <v>46</v>
      </c>
      <c r="B48" s="21">
        <f>Raw_Data!B48</f>
        <v>-43.615853999999999</v>
      </c>
      <c r="C48" s="21">
        <f>Raw_Data!C48</f>
        <v>43.615853999999999</v>
      </c>
      <c r="D48" s="25">
        <f>Raw_Data!D48</f>
        <v>493.06114600000001</v>
      </c>
      <c r="E48" s="25">
        <f>Step3_Ld_Coefs!$D$4*Step1_Features!D49+Step3_Ld_Coefs!$D$5*Step1_Features!E49+Step3_Ld_Coefs!$D$6*Step1_Features!F49+Step3_Ld_Coefs!$D$7*Step1_Features!G49+Step3_Ld_Coefs!$D$8*Step1_Features!H49+Step3_Ld_Coefs!$D$9*Step1_Features!I49+Step3_Ld_Coefs!$D$10*Step1_Features!J49+Step3_Ld_Coefs!$D$11*Step1_Features!K49+Step3_Ld_Coefs!$D$12*Step1_Features!L49+Step3_Ld_Coefs!$D$13*Step1_Features!M49+Step3_Ld_Coefs!$D$14*Step1_Features!N49+Step3_Ld_Coefs!$D$15*Step1_Features!O49+Step3_Ld_Coefs!$D$16*Step1_Features!P49+Step3_Ld_Coefs!$D$17*Step1_Features!Q49+Step3_Ld_Coefs!$D$18*Step1_Features!R49</f>
        <v>493.72354702084891</v>
      </c>
      <c r="F48" s="35">
        <f t="shared" si="3"/>
        <v>-0.66240102084890395</v>
      </c>
      <c r="G48" s="17">
        <f t="shared" si="4"/>
        <v>0.43877511242167011</v>
      </c>
      <c r="H48" s="25">
        <f t="shared" si="5"/>
        <v>-0.13434459929010589</v>
      </c>
    </row>
    <row r="49" spans="1:8" ht="15" customHeight="1" x14ac:dyDescent="0.25">
      <c r="A49" s="27">
        <v>47</v>
      </c>
      <c r="B49" s="21">
        <f>Raw_Data!B49</f>
        <v>-53.418292999999998</v>
      </c>
      <c r="C49" s="21">
        <f>Raw_Data!C49</f>
        <v>30.841066000000001</v>
      </c>
      <c r="D49" s="24">
        <f>Raw_Data!D49</f>
        <v>496.05278199999998</v>
      </c>
      <c r="E49" s="24">
        <f>Step3_Ld_Coefs!$D$4*Step1_Features!D50+Step3_Ld_Coefs!$D$5*Step1_Features!E50+Step3_Ld_Coefs!$D$6*Step1_Features!F50+Step3_Ld_Coefs!$D$7*Step1_Features!G50+Step3_Ld_Coefs!$D$8*Step1_Features!H50+Step3_Ld_Coefs!$D$9*Step1_Features!I50+Step3_Ld_Coefs!$D$10*Step1_Features!J50+Step3_Ld_Coefs!$D$11*Step1_Features!K50+Step3_Ld_Coefs!$D$12*Step1_Features!L50+Step3_Ld_Coefs!$D$13*Step1_Features!M50+Step3_Ld_Coefs!$D$14*Step1_Features!N50+Step3_Ld_Coefs!$D$15*Step1_Features!O50+Step3_Ld_Coefs!$D$16*Step1_Features!P50+Step3_Ld_Coefs!$D$17*Step1_Features!Q50+Step3_Ld_Coefs!$D$18*Step1_Features!R50</f>
        <v>496.27400440515913</v>
      </c>
      <c r="F49" s="35">
        <f t="shared" si="3"/>
        <v>-0.22122240515915337</v>
      </c>
      <c r="G49" s="21">
        <f t="shared" si="4"/>
        <v>4.8939352544400606E-2</v>
      </c>
      <c r="H49" s="24">
        <f t="shared" si="5"/>
        <v>-4.4596545606945794E-2</v>
      </c>
    </row>
    <row r="50" spans="1:8" ht="15" customHeight="1" x14ac:dyDescent="0.25">
      <c r="A50" s="16">
        <v>48</v>
      </c>
      <c r="B50" s="21">
        <f>Raw_Data!B50</f>
        <v>-59.580364000000003</v>
      </c>
      <c r="C50" s="21">
        <f>Raw_Data!C50</f>
        <v>15.964511</v>
      </c>
      <c r="D50" s="25">
        <f>Raw_Data!D50</f>
        <v>497.85753099999999</v>
      </c>
      <c r="E50" s="25">
        <f>Step3_Ld_Coefs!$D$4*Step1_Features!D51+Step3_Ld_Coefs!$D$5*Step1_Features!E51+Step3_Ld_Coefs!$D$6*Step1_Features!F51+Step3_Ld_Coefs!$D$7*Step1_Features!G51+Step3_Ld_Coefs!$D$8*Step1_Features!H51+Step3_Ld_Coefs!$D$9*Step1_Features!I51+Step3_Ld_Coefs!$D$10*Step1_Features!J51+Step3_Ld_Coefs!$D$11*Step1_Features!K51+Step3_Ld_Coefs!$D$12*Step1_Features!L51+Step3_Ld_Coefs!$D$13*Step1_Features!M51+Step3_Ld_Coefs!$D$14*Step1_Features!N51+Step3_Ld_Coefs!$D$15*Step1_Features!O51+Step3_Ld_Coefs!$D$16*Step1_Features!P51+Step3_Ld_Coefs!$D$17*Step1_Features!Q51+Step3_Ld_Coefs!$D$18*Step1_Features!R51</f>
        <v>497.73803416446628</v>
      </c>
      <c r="F50" s="35">
        <f t="shared" si="3"/>
        <v>0.1194968355337096</v>
      </c>
      <c r="G50" s="17">
        <f t="shared" si="4"/>
        <v>1.4279493702570442E-2</v>
      </c>
      <c r="H50" s="25">
        <f t="shared" si="5"/>
        <v>2.4002215110352443E-2</v>
      </c>
    </row>
    <row r="51" spans="1:8" ht="15" customHeight="1" x14ac:dyDescent="0.25">
      <c r="A51" s="27">
        <v>49</v>
      </c>
      <c r="B51" s="21">
        <f>Raw_Data!B51</f>
        <v>-61.682132000000003</v>
      </c>
      <c r="C51" s="21">
        <f>Raw_Data!C51</f>
        <v>0</v>
      </c>
      <c r="D51" s="24">
        <f>Raw_Data!D51</f>
        <v>497.86834299999998</v>
      </c>
      <c r="E51" s="24">
        <f>Step3_Ld_Coefs!$D$4*Step1_Features!D52+Step3_Ld_Coefs!$D$5*Step1_Features!E52+Step3_Ld_Coefs!$D$6*Step1_Features!F52+Step3_Ld_Coefs!$D$7*Step1_Features!G52+Step3_Ld_Coefs!$D$8*Step1_Features!H52+Step3_Ld_Coefs!$D$9*Step1_Features!I52+Step3_Ld_Coefs!$D$10*Step1_Features!J52+Step3_Ld_Coefs!$D$11*Step1_Features!K52+Step3_Ld_Coefs!$D$12*Step1_Features!L52+Step3_Ld_Coefs!$D$13*Step1_Features!M52+Step3_Ld_Coefs!$D$14*Step1_Features!N52+Step3_Ld_Coefs!$D$15*Step1_Features!O52+Step3_Ld_Coefs!$D$16*Step1_Features!P52+Step3_Ld_Coefs!$D$17*Step1_Features!Q52+Step3_Ld_Coefs!$D$18*Step1_Features!R52</f>
        <v>497.23787057899426</v>
      </c>
      <c r="F51" s="35">
        <f t="shared" si="3"/>
        <v>0.63047242100572021</v>
      </c>
      <c r="G51" s="21">
        <f t="shared" si="4"/>
        <v>0.3974954736488141</v>
      </c>
      <c r="H51" s="24">
        <f t="shared" si="5"/>
        <v>0.12663436626773442</v>
      </c>
    </row>
    <row r="52" spans="1:8" ht="15" customHeight="1" x14ac:dyDescent="0.25">
      <c r="A52" s="16">
        <v>50</v>
      </c>
      <c r="B52" s="21">
        <f>Raw_Data!B52</f>
        <v>0</v>
      </c>
      <c r="C52" s="21">
        <f>Raw_Data!C52</f>
        <v>71.962486999999996</v>
      </c>
      <c r="D52" s="25">
        <f>Raw_Data!D52</f>
        <v>461.26017000000002</v>
      </c>
      <c r="E52" s="25">
        <f>Step3_Ld_Coefs!$D$4*Step1_Features!D53+Step3_Ld_Coefs!$D$5*Step1_Features!E53+Step3_Ld_Coefs!$D$6*Step1_Features!F53+Step3_Ld_Coefs!$D$7*Step1_Features!G53+Step3_Ld_Coefs!$D$8*Step1_Features!H53+Step3_Ld_Coefs!$D$9*Step1_Features!I53+Step3_Ld_Coefs!$D$10*Step1_Features!J53+Step3_Ld_Coefs!$D$11*Step1_Features!K53+Step3_Ld_Coefs!$D$12*Step1_Features!L53+Step3_Ld_Coefs!$D$13*Step1_Features!M53+Step3_Ld_Coefs!$D$14*Step1_Features!N53+Step3_Ld_Coefs!$D$15*Step1_Features!O53+Step3_Ld_Coefs!$D$16*Step1_Features!P53+Step3_Ld_Coefs!$D$17*Step1_Features!Q53+Step3_Ld_Coefs!$D$18*Step1_Features!R53</f>
        <v>461.82604990027932</v>
      </c>
      <c r="F52" s="35">
        <f t="shared" si="3"/>
        <v>-0.56587990027929891</v>
      </c>
      <c r="G52" s="17">
        <f t="shared" si="4"/>
        <v>0.32022006154010929</v>
      </c>
      <c r="H52" s="25">
        <f t="shared" si="5"/>
        <v>-0.12268128424773786</v>
      </c>
    </row>
    <row r="53" spans="1:8" ht="15" customHeight="1" x14ac:dyDescent="0.25">
      <c r="A53" s="27">
        <v>51</v>
      </c>
      <c r="B53" s="21">
        <f>Raw_Data!B53</f>
        <v>-18.625261999999999</v>
      </c>
      <c r="C53" s="21">
        <f>Raw_Data!C53</f>
        <v>69.510424999999998</v>
      </c>
      <c r="D53" s="24">
        <f>Raw_Data!D53</f>
        <v>478.194321</v>
      </c>
      <c r="E53" s="24">
        <f>Step3_Ld_Coefs!$D$4*Step1_Features!D54+Step3_Ld_Coefs!$D$5*Step1_Features!E54+Step3_Ld_Coefs!$D$6*Step1_Features!F54+Step3_Ld_Coefs!$D$7*Step1_Features!G54+Step3_Ld_Coefs!$D$8*Step1_Features!H54+Step3_Ld_Coefs!$D$9*Step1_Features!I54+Step3_Ld_Coefs!$D$10*Step1_Features!J54+Step3_Ld_Coefs!$D$11*Step1_Features!K54+Step3_Ld_Coefs!$D$12*Step1_Features!L54+Step3_Ld_Coefs!$D$13*Step1_Features!M54+Step3_Ld_Coefs!$D$14*Step1_Features!N54+Step3_Ld_Coefs!$D$15*Step1_Features!O54+Step3_Ld_Coefs!$D$16*Step1_Features!P54+Step3_Ld_Coefs!$D$17*Step1_Features!Q54+Step3_Ld_Coefs!$D$18*Step1_Features!R54</f>
        <v>477.55277847371963</v>
      </c>
      <c r="F53" s="35">
        <f t="shared" si="3"/>
        <v>0.64154252628037511</v>
      </c>
      <c r="G53" s="21">
        <f t="shared" si="4"/>
        <v>0.4115768130262058</v>
      </c>
      <c r="H53" s="24">
        <f t="shared" si="5"/>
        <v>0.13415937791540086</v>
      </c>
    </row>
    <row r="54" spans="1:8" ht="15" customHeight="1" x14ac:dyDescent="0.25">
      <c r="A54" s="16">
        <v>52</v>
      </c>
      <c r="B54" s="21">
        <f>Raw_Data!B54</f>
        <v>-35.981243999999997</v>
      </c>
      <c r="C54" s="21">
        <f>Raw_Data!C54</f>
        <v>62.321342000000001</v>
      </c>
      <c r="D54" s="25">
        <f>Raw_Data!D54</f>
        <v>487.25109600000002</v>
      </c>
      <c r="E54" s="25">
        <f>Step3_Ld_Coefs!$D$4*Step1_Features!D55+Step3_Ld_Coefs!$D$5*Step1_Features!E55+Step3_Ld_Coefs!$D$6*Step1_Features!F55+Step3_Ld_Coefs!$D$7*Step1_Features!G55+Step3_Ld_Coefs!$D$8*Step1_Features!H55+Step3_Ld_Coefs!$D$9*Step1_Features!I55+Step3_Ld_Coefs!$D$10*Step1_Features!J55+Step3_Ld_Coefs!$D$11*Step1_Features!K55+Step3_Ld_Coefs!$D$12*Step1_Features!L55+Step3_Ld_Coefs!$D$13*Step1_Features!M55+Step3_Ld_Coefs!$D$14*Step1_Features!N55+Step3_Ld_Coefs!$D$15*Step1_Features!O55+Step3_Ld_Coefs!$D$16*Step1_Features!P55+Step3_Ld_Coefs!$D$17*Step1_Features!Q55+Step3_Ld_Coefs!$D$18*Step1_Features!R55</f>
        <v>486.7306474875636</v>
      </c>
      <c r="F54" s="35">
        <f t="shared" si="3"/>
        <v>0.52044851243641688</v>
      </c>
      <c r="G54" s="17">
        <f t="shared" si="4"/>
        <v>0.27086665409727917</v>
      </c>
      <c r="H54" s="25">
        <f t="shared" si="5"/>
        <v>0.10681320508233744</v>
      </c>
    </row>
    <row r="55" spans="1:8" ht="15" customHeight="1" x14ac:dyDescent="0.25">
      <c r="A55" s="27">
        <v>53</v>
      </c>
      <c r="B55" s="21">
        <f>Raw_Data!B55</f>
        <v>-50.885162999999999</v>
      </c>
      <c r="C55" s="21">
        <f>Raw_Data!C55</f>
        <v>50.885162999999999</v>
      </c>
      <c r="D55" s="24">
        <f>Raw_Data!D55</f>
        <v>491.20556900000003</v>
      </c>
      <c r="E55" s="24">
        <f>Step3_Ld_Coefs!$D$4*Step1_Features!D56+Step3_Ld_Coefs!$D$5*Step1_Features!E56+Step3_Ld_Coefs!$D$6*Step1_Features!F56+Step3_Ld_Coefs!$D$7*Step1_Features!G56+Step3_Ld_Coefs!$D$8*Step1_Features!H56+Step3_Ld_Coefs!$D$9*Step1_Features!I56+Step3_Ld_Coefs!$D$10*Step1_Features!J56+Step3_Ld_Coefs!$D$11*Step1_Features!K56+Step3_Ld_Coefs!$D$12*Step1_Features!L56+Step3_Ld_Coefs!$D$13*Step1_Features!M56+Step3_Ld_Coefs!$D$14*Step1_Features!N56+Step3_Ld_Coefs!$D$15*Step1_Features!O56+Step3_Ld_Coefs!$D$16*Step1_Features!P56+Step3_Ld_Coefs!$D$17*Step1_Features!Q56+Step3_Ld_Coefs!$D$18*Step1_Features!R56</f>
        <v>491.78811437529015</v>
      </c>
      <c r="F55" s="35">
        <f t="shared" si="3"/>
        <v>-0.58254537529012396</v>
      </c>
      <c r="G55" s="21">
        <f t="shared" si="4"/>
        <v>0.33935911427191134</v>
      </c>
      <c r="H55" s="24">
        <f t="shared" si="5"/>
        <v>-0.11859502661504309</v>
      </c>
    </row>
    <row r="56" spans="1:8" ht="15" customHeight="1" x14ac:dyDescent="0.25">
      <c r="A56" s="16">
        <v>54</v>
      </c>
      <c r="B56" s="21">
        <f>Raw_Data!B56</f>
        <v>-62.321342000000001</v>
      </c>
      <c r="C56" s="21">
        <f>Raw_Data!C56</f>
        <v>35.981243999999997</v>
      </c>
      <c r="D56" s="25">
        <f>Raw_Data!D56</f>
        <v>494.497028</v>
      </c>
      <c r="E56" s="25">
        <f>Step3_Ld_Coefs!$D$4*Step1_Features!D57+Step3_Ld_Coefs!$D$5*Step1_Features!E57+Step3_Ld_Coefs!$D$6*Step1_Features!F57+Step3_Ld_Coefs!$D$7*Step1_Features!G57+Step3_Ld_Coefs!$D$8*Step1_Features!H57+Step3_Ld_Coefs!$D$9*Step1_Features!I57+Step3_Ld_Coefs!$D$10*Step1_Features!J57+Step3_Ld_Coefs!$D$11*Step1_Features!K57+Step3_Ld_Coefs!$D$12*Step1_Features!L57+Step3_Ld_Coefs!$D$13*Step1_Features!M57+Step3_Ld_Coefs!$D$14*Step1_Features!N57+Step3_Ld_Coefs!$D$15*Step1_Features!O57+Step3_Ld_Coefs!$D$16*Step1_Features!P57+Step3_Ld_Coefs!$D$17*Step1_Features!Q57+Step3_Ld_Coefs!$D$18*Step1_Features!R57</f>
        <v>494.61953840700181</v>
      </c>
      <c r="F56" s="35">
        <f t="shared" si="3"/>
        <v>-0.12251040700181193</v>
      </c>
      <c r="G56" s="17">
        <f t="shared" si="4"/>
        <v>1.5008799823749608E-2</v>
      </c>
      <c r="H56" s="25">
        <f t="shared" si="5"/>
        <v>-2.4774750921619682E-2</v>
      </c>
    </row>
    <row r="57" spans="1:8" ht="15" customHeight="1" x14ac:dyDescent="0.25">
      <c r="A57" s="27">
        <v>55</v>
      </c>
      <c r="B57" s="21">
        <f>Raw_Data!B57</f>
        <v>-69.510424999999998</v>
      </c>
      <c r="C57" s="21">
        <f>Raw_Data!C57</f>
        <v>18.625261999999999</v>
      </c>
      <c r="D57" s="24">
        <f>Raw_Data!D57</f>
        <v>496.72693700000002</v>
      </c>
      <c r="E57" s="24">
        <f>Step3_Ld_Coefs!$D$4*Step1_Features!D58+Step3_Ld_Coefs!$D$5*Step1_Features!E58+Step3_Ld_Coefs!$D$6*Step1_Features!F58+Step3_Ld_Coefs!$D$7*Step1_Features!G58+Step3_Ld_Coefs!$D$8*Step1_Features!H58+Step3_Ld_Coefs!$D$9*Step1_Features!I58+Step3_Ld_Coefs!$D$10*Step1_Features!J58+Step3_Ld_Coefs!$D$11*Step1_Features!K58+Step3_Ld_Coefs!$D$12*Step1_Features!L58+Step3_Ld_Coefs!$D$13*Step1_Features!M58+Step3_Ld_Coefs!$D$14*Step1_Features!N58+Step3_Ld_Coefs!$D$15*Step1_Features!O58+Step3_Ld_Coefs!$D$16*Step1_Features!P58+Step3_Ld_Coefs!$D$17*Step1_Features!Q58+Step3_Ld_Coefs!$D$18*Step1_Features!R58</f>
        <v>496.4069230211648</v>
      </c>
      <c r="F57" s="35">
        <f t="shared" si="3"/>
        <v>0.32001397883522031</v>
      </c>
      <c r="G57" s="21">
        <f t="shared" si="4"/>
        <v>0.10240894664994883</v>
      </c>
      <c r="H57" s="24">
        <f t="shared" si="5"/>
        <v>6.4424526837210824E-2</v>
      </c>
    </row>
    <row r="58" spans="1:8" ht="15" customHeight="1" x14ac:dyDescent="0.25">
      <c r="A58" s="16">
        <v>56</v>
      </c>
      <c r="B58" s="21">
        <f>Raw_Data!B58</f>
        <v>-71.962486999999996</v>
      </c>
      <c r="C58" s="21">
        <f>Raw_Data!C58</f>
        <v>0</v>
      </c>
      <c r="D58" s="25">
        <f>Raw_Data!D58</f>
        <v>496.05751900000001</v>
      </c>
      <c r="E58" s="25">
        <f>Step3_Ld_Coefs!$D$4*Step1_Features!D59+Step3_Ld_Coefs!$D$5*Step1_Features!E59+Step3_Ld_Coefs!$D$6*Step1_Features!F59+Step3_Ld_Coefs!$D$7*Step1_Features!G59+Step3_Ld_Coefs!$D$8*Step1_Features!H59+Step3_Ld_Coefs!$D$9*Step1_Features!I59+Step3_Ld_Coefs!$D$10*Step1_Features!J59+Step3_Ld_Coefs!$D$11*Step1_Features!K59+Step3_Ld_Coefs!$D$12*Step1_Features!L59+Step3_Ld_Coefs!$D$13*Step1_Features!M59+Step3_Ld_Coefs!$D$14*Step1_Features!N59+Step3_Ld_Coefs!$D$15*Step1_Features!O59+Step3_Ld_Coefs!$D$16*Step1_Features!P59+Step3_Ld_Coefs!$D$17*Step1_Features!Q59+Step3_Ld_Coefs!$D$18*Step1_Features!R59</f>
        <v>496.42223488816785</v>
      </c>
      <c r="F58" s="35">
        <f t="shared" si="3"/>
        <v>-0.36471588816783651</v>
      </c>
      <c r="G58" s="17">
        <f t="shared" si="4"/>
        <v>0.13301767908205384</v>
      </c>
      <c r="H58" s="25">
        <f t="shared" si="5"/>
        <v>-7.3522902929294476E-2</v>
      </c>
    </row>
    <row r="59" spans="1:8" ht="15" customHeight="1" x14ac:dyDescent="0.25">
      <c r="A59" s="27">
        <v>57</v>
      </c>
      <c r="B59" s="21">
        <f>Raw_Data!B59</f>
        <v>0</v>
      </c>
      <c r="C59" s="21">
        <f>Raw_Data!C59</f>
        <v>82.242842999999993</v>
      </c>
      <c r="D59" s="24">
        <f>Raw_Data!D59</f>
        <v>452.10146500000002</v>
      </c>
      <c r="E59" s="24">
        <f>Step3_Ld_Coefs!$D$4*Step1_Features!D60+Step3_Ld_Coefs!$D$5*Step1_Features!E60+Step3_Ld_Coefs!$D$6*Step1_Features!F60+Step3_Ld_Coefs!$D$7*Step1_Features!G60+Step3_Ld_Coefs!$D$8*Step1_Features!H60+Step3_Ld_Coefs!$D$9*Step1_Features!I60+Step3_Ld_Coefs!$D$10*Step1_Features!J60+Step3_Ld_Coefs!$D$11*Step1_Features!K60+Step3_Ld_Coefs!$D$12*Step1_Features!L60+Step3_Ld_Coefs!$D$13*Step1_Features!M60+Step3_Ld_Coefs!$D$14*Step1_Features!N60+Step3_Ld_Coefs!$D$15*Step1_Features!O60+Step3_Ld_Coefs!$D$16*Step1_Features!P60+Step3_Ld_Coefs!$D$17*Step1_Features!Q60+Step3_Ld_Coefs!$D$18*Step1_Features!R60</f>
        <v>453.02297235500896</v>
      </c>
      <c r="F59" s="35">
        <f t="shared" si="3"/>
        <v>-0.92150735500894143</v>
      </c>
      <c r="G59" s="21">
        <f t="shared" si="4"/>
        <v>0.84917580533557524</v>
      </c>
      <c r="H59" s="24">
        <f t="shared" si="5"/>
        <v>-0.20382755340307102</v>
      </c>
    </row>
    <row r="60" spans="1:8" ht="15" customHeight="1" x14ac:dyDescent="0.25">
      <c r="A60" s="16">
        <v>58</v>
      </c>
      <c r="B60" s="21">
        <f>Raw_Data!B60</f>
        <v>-21.286014000000002</v>
      </c>
      <c r="C60" s="21">
        <f>Raw_Data!C60</f>
        <v>79.440486000000007</v>
      </c>
      <c r="D60" s="25">
        <f>Raw_Data!D60</f>
        <v>472.252229</v>
      </c>
      <c r="E60" s="25">
        <f>Step3_Ld_Coefs!$D$4*Step1_Features!D61+Step3_Ld_Coefs!$D$5*Step1_Features!E61+Step3_Ld_Coefs!$D$6*Step1_Features!F61+Step3_Ld_Coefs!$D$7*Step1_Features!G61+Step3_Ld_Coefs!$D$8*Step1_Features!H61+Step3_Ld_Coefs!$D$9*Step1_Features!I61+Step3_Ld_Coefs!$D$10*Step1_Features!J61+Step3_Ld_Coefs!$D$11*Step1_Features!K61+Step3_Ld_Coefs!$D$12*Step1_Features!L61+Step3_Ld_Coefs!$D$13*Step1_Features!M61+Step3_Ld_Coefs!$D$14*Step1_Features!N61+Step3_Ld_Coefs!$D$15*Step1_Features!O61+Step3_Ld_Coefs!$D$16*Step1_Features!P61+Step3_Ld_Coefs!$D$17*Step1_Features!Q61+Step3_Ld_Coefs!$D$18*Step1_Features!R61</f>
        <v>472.59463318335173</v>
      </c>
      <c r="F60" s="35">
        <f t="shared" si="3"/>
        <v>-0.34240418335173217</v>
      </c>
      <c r="G60" s="17">
        <f t="shared" si="4"/>
        <v>0.11724062477676662</v>
      </c>
      <c r="H60" s="25">
        <f t="shared" si="5"/>
        <v>-7.2504513970590947E-2</v>
      </c>
    </row>
    <row r="61" spans="1:8" ht="15" customHeight="1" x14ac:dyDescent="0.25">
      <c r="A61" s="27">
        <v>59</v>
      </c>
      <c r="B61" s="21">
        <f>Raw_Data!B61</f>
        <v>-41.121420999999998</v>
      </c>
      <c r="C61" s="21">
        <f>Raw_Data!C61</f>
        <v>71.224390999999997</v>
      </c>
      <c r="D61" s="24">
        <f>Raw_Data!D61</f>
        <v>484.82439499999998</v>
      </c>
      <c r="E61" s="24">
        <f>Step3_Ld_Coefs!$D$4*Step1_Features!D62+Step3_Ld_Coefs!$D$5*Step1_Features!E62+Step3_Ld_Coefs!$D$6*Step1_Features!F62+Step3_Ld_Coefs!$D$7*Step1_Features!G62+Step3_Ld_Coefs!$D$8*Step1_Features!H62+Step3_Ld_Coefs!$D$9*Step1_Features!I62+Step3_Ld_Coefs!$D$10*Step1_Features!J62+Step3_Ld_Coefs!$D$11*Step1_Features!K62+Step3_Ld_Coefs!$D$12*Step1_Features!L62+Step3_Ld_Coefs!$D$13*Step1_Features!M62+Step3_Ld_Coefs!$D$14*Step1_Features!N62+Step3_Ld_Coefs!$D$15*Step1_Features!O62+Step3_Ld_Coefs!$D$16*Step1_Features!P62+Step3_Ld_Coefs!$D$17*Step1_Features!Q62+Step3_Ld_Coefs!$D$18*Step1_Features!R62</f>
        <v>483.78315034379818</v>
      </c>
      <c r="F61" s="35">
        <f t="shared" si="3"/>
        <v>1.0412446562017976</v>
      </c>
      <c r="G61" s="21">
        <f t="shared" si="4"/>
        <v>1.0841904340687998</v>
      </c>
      <c r="H61" s="24">
        <f t="shared" si="5"/>
        <v>0.2147673811260668</v>
      </c>
    </row>
    <row r="62" spans="1:8" ht="15" customHeight="1" x14ac:dyDescent="0.25">
      <c r="A62" s="16">
        <v>60</v>
      </c>
      <c r="B62" s="21">
        <f>Raw_Data!B62</f>
        <v>-58.154471999999998</v>
      </c>
      <c r="C62" s="21">
        <f>Raw_Data!C62</f>
        <v>58.154471999999998</v>
      </c>
      <c r="D62" s="25">
        <f>Raw_Data!D62</f>
        <v>489.45056799999998</v>
      </c>
      <c r="E62" s="25">
        <f>Step3_Ld_Coefs!$D$4*Step1_Features!D63+Step3_Ld_Coefs!$D$5*Step1_Features!E63+Step3_Ld_Coefs!$D$6*Step1_Features!F63+Step3_Ld_Coefs!$D$7*Step1_Features!G63+Step3_Ld_Coefs!$D$8*Step1_Features!H63+Step3_Ld_Coefs!$D$9*Step1_Features!I63+Step3_Ld_Coefs!$D$10*Step1_Features!J63+Step3_Ld_Coefs!$D$11*Step1_Features!K63+Step3_Ld_Coefs!$D$12*Step1_Features!L63+Step3_Ld_Coefs!$D$13*Step1_Features!M63+Step3_Ld_Coefs!$D$14*Step1_Features!N63+Step3_Ld_Coefs!$D$15*Step1_Features!O63+Step3_Ld_Coefs!$D$16*Step1_Features!P63+Step3_Ld_Coefs!$D$17*Step1_Features!Q63+Step3_Ld_Coefs!$D$18*Step1_Features!R63</f>
        <v>489.95462861369555</v>
      </c>
      <c r="F62" s="35">
        <f t="shared" si="3"/>
        <v>-0.50406061369557165</v>
      </c>
      <c r="G62" s="17">
        <f t="shared" si="4"/>
        <v>0.25407710227915631</v>
      </c>
      <c r="H62" s="25">
        <f t="shared" si="5"/>
        <v>-0.10298498901641312</v>
      </c>
    </row>
    <row r="63" spans="1:8" ht="15" customHeight="1" x14ac:dyDescent="0.25">
      <c r="A63" s="27">
        <v>61</v>
      </c>
      <c r="B63" s="21">
        <f>Raw_Data!B63</f>
        <v>-71.224390999999997</v>
      </c>
      <c r="C63" s="21">
        <f>Raw_Data!C63</f>
        <v>41.121420999999998</v>
      </c>
      <c r="D63" s="24">
        <f>Raw_Data!D63</f>
        <v>493.01348300000001</v>
      </c>
      <c r="E63" s="24">
        <f>Step3_Ld_Coefs!$D$4*Step1_Features!D64+Step3_Ld_Coefs!$D$5*Step1_Features!E64+Step3_Ld_Coefs!$D$6*Step1_Features!F64+Step3_Ld_Coefs!$D$7*Step1_Features!G64+Step3_Ld_Coefs!$D$8*Step1_Features!H64+Step3_Ld_Coefs!$D$9*Step1_Features!I64+Step3_Ld_Coefs!$D$10*Step1_Features!J64+Step3_Ld_Coefs!$D$11*Step1_Features!K64+Step3_Ld_Coefs!$D$12*Step1_Features!L64+Step3_Ld_Coefs!$D$13*Step1_Features!M64+Step3_Ld_Coefs!$D$14*Step1_Features!N64+Step3_Ld_Coefs!$D$15*Step1_Features!O64+Step3_Ld_Coefs!$D$16*Step1_Features!P64+Step3_Ld_Coefs!$D$17*Step1_Features!Q64+Step3_Ld_Coefs!$D$18*Step1_Features!R64</f>
        <v>493.17146015725234</v>
      </c>
      <c r="F63" s="35">
        <f t="shared" si="3"/>
        <v>-0.15797715725233274</v>
      </c>
      <c r="G63" s="21">
        <f t="shared" si="4"/>
        <v>2.4956782213528268E-2</v>
      </c>
      <c r="H63" s="24">
        <f t="shared" si="5"/>
        <v>-3.2043171779205223E-2</v>
      </c>
    </row>
    <row r="64" spans="1:8" ht="15" customHeight="1" x14ac:dyDescent="0.25">
      <c r="A64" s="16">
        <v>62</v>
      </c>
      <c r="B64" s="21">
        <f>Raw_Data!B64</f>
        <v>-79.440486000000007</v>
      </c>
      <c r="C64" s="21">
        <f>Raw_Data!C64</f>
        <v>21.286014000000002</v>
      </c>
      <c r="D64" s="25">
        <f>Raw_Data!D64</f>
        <v>495.73572899999999</v>
      </c>
      <c r="E64" s="25">
        <f>Step3_Ld_Coefs!$D$4*Step1_Features!D65+Step3_Ld_Coefs!$D$5*Step1_Features!E65+Step3_Ld_Coefs!$D$6*Step1_Features!F65+Step3_Ld_Coefs!$D$7*Step1_Features!G65+Step3_Ld_Coefs!$D$8*Step1_Features!H65+Step3_Ld_Coefs!$D$9*Step1_Features!I65+Step3_Ld_Coefs!$D$10*Step1_Features!J65+Step3_Ld_Coefs!$D$11*Step1_Features!K65+Step3_Ld_Coefs!$D$12*Step1_Features!L65+Step3_Ld_Coefs!$D$13*Step1_Features!M65+Step3_Ld_Coefs!$D$14*Step1_Features!N65+Step3_Ld_Coefs!$D$15*Step1_Features!O65+Step3_Ld_Coefs!$D$16*Step1_Features!P65+Step3_Ld_Coefs!$D$17*Step1_Features!Q65+Step3_Ld_Coefs!$D$18*Step1_Features!R65</f>
        <v>495.15849935568934</v>
      </c>
      <c r="F64" s="35">
        <f t="shared" si="3"/>
        <v>0.57722964431064838</v>
      </c>
      <c r="G64" s="17">
        <f t="shared" si="4"/>
        <v>0.33319406227099763</v>
      </c>
      <c r="H64" s="25">
        <f t="shared" si="5"/>
        <v>0.11643898362440774</v>
      </c>
    </row>
    <row r="65" spans="1:8" ht="15" customHeight="1" x14ac:dyDescent="0.25">
      <c r="A65" s="27">
        <v>63</v>
      </c>
      <c r="B65" s="21">
        <f>Raw_Data!B65</f>
        <v>-82.242842999999993</v>
      </c>
      <c r="C65" s="21">
        <f>Raw_Data!C65</f>
        <v>0</v>
      </c>
      <c r="D65" s="24">
        <f>Raw_Data!D65</f>
        <v>495.39705300000003</v>
      </c>
      <c r="E65" s="24">
        <f>Step3_Ld_Coefs!$D$4*Step1_Features!D66+Step3_Ld_Coefs!$D$5*Step1_Features!E66+Step3_Ld_Coefs!$D$6*Step1_Features!F66+Step3_Ld_Coefs!$D$7*Step1_Features!G66+Step3_Ld_Coefs!$D$8*Step1_Features!H66+Step3_Ld_Coefs!$D$9*Step1_Features!I66+Step3_Ld_Coefs!$D$10*Step1_Features!J66+Step3_Ld_Coefs!$D$11*Step1_Features!K66+Step3_Ld_Coefs!$D$12*Step1_Features!L66+Step3_Ld_Coefs!$D$13*Step1_Features!M66+Step3_Ld_Coefs!$D$14*Step1_Features!N66+Step3_Ld_Coefs!$D$15*Step1_Features!O66+Step3_Ld_Coefs!$D$16*Step1_Features!P66+Step3_Ld_Coefs!$D$17*Step1_Features!Q66+Step3_Ld_Coefs!$D$18*Step1_Features!R66</f>
        <v>495.78510259825384</v>
      </c>
      <c r="F65" s="35">
        <f t="shared" si="3"/>
        <v>-0.38804959825381502</v>
      </c>
      <c r="G65" s="21">
        <f t="shared" si="4"/>
        <v>0.15058249070494722</v>
      </c>
      <c r="H65" s="24">
        <f t="shared" si="5"/>
        <v>-7.8331026780212795E-2</v>
      </c>
    </row>
    <row r="66" spans="1:8" ht="15" customHeight="1" x14ac:dyDescent="0.25">
      <c r="A66" s="16">
        <v>64</v>
      </c>
      <c r="B66" s="21">
        <f>Raw_Data!B66</f>
        <v>0</v>
      </c>
      <c r="C66" s="21">
        <f>Raw_Data!C66</f>
        <v>92.523197999999994</v>
      </c>
      <c r="D66" s="25">
        <f>Raw_Data!D66</f>
        <v>442.493629</v>
      </c>
      <c r="E66" s="25">
        <f>Step3_Ld_Coefs!$D$4*Step1_Features!D67+Step3_Ld_Coefs!$D$5*Step1_Features!E67+Step3_Ld_Coefs!$D$6*Step1_Features!F67+Step3_Ld_Coefs!$D$7*Step1_Features!G67+Step3_Ld_Coefs!$D$8*Step1_Features!H67+Step3_Ld_Coefs!$D$9*Step1_Features!I67+Step3_Ld_Coefs!$D$10*Step1_Features!J67+Step3_Ld_Coefs!$D$11*Step1_Features!K67+Step3_Ld_Coefs!$D$12*Step1_Features!L67+Step3_Ld_Coefs!$D$13*Step1_Features!M67+Step3_Ld_Coefs!$D$14*Step1_Features!N67+Step3_Ld_Coefs!$D$15*Step1_Features!O67+Step3_Ld_Coefs!$D$16*Step1_Features!P67+Step3_Ld_Coefs!$D$17*Step1_Features!Q67+Step3_Ld_Coefs!$D$18*Step1_Features!R67</f>
        <v>442.772323684757</v>
      </c>
      <c r="F66" s="35">
        <f t="shared" si="3"/>
        <v>-0.27869468475699932</v>
      </c>
      <c r="G66" s="17">
        <f t="shared" si="4"/>
        <v>7.7670727311803231E-2</v>
      </c>
      <c r="H66" s="25">
        <f t="shared" si="5"/>
        <v>-6.2982756471958001E-2</v>
      </c>
    </row>
    <row r="67" spans="1:8" ht="15" customHeight="1" x14ac:dyDescent="0.25">
      <c r="A67" s="27">
        <v>65</v>
      </c>
      <c r="B67" s="21">
        <f>Raw_Data!B67</f>
        <v>-23.946766</v>
      </c>
      <c r="C67" s="21">
        <f>Raw_Data!C67</f>
        <v>89.370547000000002</v>
      </c>
      <c r="D67" s="24">
        <f>Raw_Data!D67</f>
        <v>465.23976499999998</v>
      </c>
      <c r="E67" s="24">
        <f>Step3_Ld_Coefs!$D$4*Step1_Features!D68+Step3_Ld_Coefs!$D$5*Step1_Features!E68+Step3_Ld_Coefs!$D$6*Step1_Features!F68+Step3_Ld_Coefs!$D$7*Step1_Features!G68+Step3_Ld_Coefs!$D$8*Step1_Features!H68+Step3_Ld_Coefs!$D$9*Step1_Features!I68+Step3_Ld_Coefs!$D$10*Step1_Features!J68+Step3_Ld_Coefs!$D$11*Step1_Features!K68+Step3_Ld_Coefs!$D$12*Step1_Features!L68+Step3_Ld_Coefs!$D$13*Step1_Features!M68+Step3_Ld_Coefs!$D$14*Step1_Features!N68+Step3_Ld_Coefs!$D$15*Step1_Features!O68+Step3_Ld_Coefs!$D$16*Step1_Features!P68+Step3_Ld_Coefs!$D$17*Step1_Features!Q68+Step3_Ld_Coefs!$D$18*Step1_Features!R68</f>
        <v>466.35705727401728</v>
      </c>
      <c r="F67" s="35">
        <f t="shared" ref="F67:F98" si="6">D67-E67</f>
        <v>-1.1172922740173021</v>
      </c>
      <c r="G67" s="21">
        <f t="shared" ref="G67:G98" si="7">F67^2</f>
        <v>1.2483420255787541</v>
      </c>
      <c r="H67" s="24">
        <f t="shared" ref="H67:H79" si="8">F67/D67*100</f>
        <v>-0.24015407926648363</v>
      </c>
    </row>
    <row r="68" spans="1:8" ht="15" customHeight="1" x14ac:dyDescent="0.25">
      <c r="A68" s="16">
        <v>66</v>
      </c>
      <c r="B68" s="21">
        <f>Raw_Data!B68</f>
        <v>-46.261598999999997</v>
      </c>
      <c r="C68" s="21">
        <f>Raw_Data!C68</f>
        <v>80.127440000000007</v>
      </c>
      <c r="D68" s="25">
        <f>Raw_Data!D68</f>
        <v>481.44350400000002</v>
      </c>
      <c r="E68" s="25">
        <f>Step3_Ld_Coefs!$D$4*Step1_Features!D69+Step3_Ld_Coefs!$D$5*Step1_Features!E69+Step3_Ld_Coefs!$D$6*Step1_Features!F69+Step3_Ld_Coefs!$D$7*Step1_Features!G69+Step3_Ld_Coefs!$D$8*Step1_Features!H69+Step3_Ld_Coefs!$D$9*Step1_Features!I69+Step3_Ld_Coefs!$D$10*Step1_Features!J69+Step3_Ld_Coefs!$D$11*Step1_Features!K69+Step3_Ld_Coefs!$D$12*Step1_Features!L69+Step3_Ld_Coefs!$D$13*Step1_Features!M69+Step3_Ld_Coefs!$D$14*Step1_Features!N69+Step3_Ld_Coefs!$D$15*Step1_Features!O69+Step3_Ld_Coefs!$D$16*Step1_Features!P69+Step3_Ld_Coefs!$D$17*Step1_Features!Q69+Step3_Ld_Coefs!$D$18*Step1_Features!R69</f>
        <v>480.10144885913644</v>
      </c>
      <c r="F68" s="35">
        <f t="shared" si="6"/>
        <v>1.3420551408635788</v>
      </c>
      <c r="G68" s="17">
        <f t="shared" si="7"/>
        <v>1.8011120011183603</v>
      </c>
      <c r="H68" s="25">
        <f t="shared" si="8"/>
        <v>0.27875651654105166</v>
      </c>
    </row>
    <row r="69" spans="1:8" ht="15" customHeight="1" x14ac:dyDescent="0.25">
      <c r="A69" s="27">
        <v>67</v>
      </c>
      <c r="B69" s="21">
        <f>Raw_Data!B69</f>
        <v>-65.423781000000005</v>
      </c>
      <c r="C69" s="21">
        <f>Raw_Data!C69</f>
        <v>65.423781000000005</v>
      </c>
      <c r="D69" s="24">
        <f>Raw_Data!D69</f>
        <v>487.79934200000002</v>
      </c>
      <c r="E69" s="24">
        <f>Step3_Ld_Coefs!$D$4*Step1_Features!D70+Step3_Ld_Coefs!$D$5*Step1_Features!E70+Step3_Ld_Coefs!$D$6*Step1_Features!F70+Step3_Ld_Coefs!$D$7*Step1_Features!G70+Step3_Ld_Coefs!$D$8*Step1_Features!H70+Step3_Ld_Coefs!$D$9*Step1_Features!I70+Step3_Ld_Coefs!$D$10*Step1_Features!J70+Step3_Ld_Coefs!$D$11*Step1_Features!K70+Step3_Ld_Coefs!$D$12*Step1_Features!L70+Step3_Ld_Coefs!$D$13*Step1_Features!M70+Step3_Ld_Coefs!$D$14*Step1_Features!N70+Step3_Ld_Coefs!$D$15*Step1_Features!O70+Step3_Ld_Coefs!$D$16*Step1_Features!P70+Step3_Ld_Coefs!$D$17*Step1_Features!Q70+Step3_Ld_Coefs!$D$18*Step1_Features!R70</f>
        <v>488.13249294698301</v>
      </c>
      <c r="F69" s="35">
        <f t="shared" si="6"/>
        <v>-0.33315094698298253</v>
      </c>
      <c r="G69" s="21">
        <f t="shared" si="7"/>
        <v>0.11098955347565803</v>
      </c>
      <c r="H69" s="24">
        <f t="shared" si="8"/>
        <v>-6.829671922414822E-2</v>
      </c>
    </row>
    <row r="70" spans="1:8" ht="15" customHeight="1" x14ac:dyDescent="0.25">
      <c r="A70" s="16">
        <v>68</v>
      </c>
      <c r="B70" s="21">
        <f>Raw_Data!B70</f>
        <v>-80.127440000000007</v>
      </c>
      <c r="C70" s="21">
        <f>Raw_Data!C70</f>
        <v>46.261598999999997</v>
      </c>
      <c r="D70" s="25">
        <f>Raw_Data!D70</f>
        <v>491.59861100000001</v>
      </c>
      <c r="E70" s="25">
        <f>Step3_Ld_Coefs!$D$4*Step1_Features!D71+Step3_Ld_Coefs!$D$5*Step1_Features!E71+Step3_Ld_Coefs!$D$6*Step1_Features!F71+Step3_Ld_Coefs!$D$7*Step1_Features!G71+Step3_Ld_Coefs!$D$8*Step1_Features!H71+Step3_Ld_Coefs!$D$9*Step1_Features!I71+Step3_Ld_Coefs!$D$10*Step1_Features!J71+Step3_Ld_Coefs!$D$11*Step1_Features!K71+Step3_Ld_Coefs!$D$12*Step1_Features!L71+Step3_Ld_Coefs!$D$13*Step1_Features!M71+Step3_Ld_Coefs!$D$14*Step1_Features!N71+Step3_Ld_Coefs!$D$15*Step1_Features!O71+Step3_Ld_Coefs!$D$16*Step1_Features!P71+Step3_Ld_Coefs!$D$17*Step1_Features!Q71+Step3_Ld_Coefs!$D$18*Step1_Features!R71</f>
        <v>492.02545837297828</v>
      </c>
      <c r="F70" s="35">
        <f t="shared" si="6"/>
        <v>-0.42684737297827269</v>
      </c>
      <c r="G70" s="17">
        <f t="shared" si="7"/>
        <v>0.18219867981845264</v>
      </c>
      <c r="H70" s="25">
        <f t="shared" si="8"/>
        <v>-8.682843348763504E-2</v>
      </c>
    </row>
    <row r="71" spans="1:8" ht="15" customHeight="1" x14ac:dyDescent="0.25">
      <c r="A71" s="27">
        <v>69</v>
      </c>
      <c r="B71" s="21">
        <f>Raw_Data!B71</f>
        <v>-89.370547000000002</v>
      </c>
      <c r="C71" s="21">
        <f>Raw_Data!C71</f>
        <v>23.946766</v>
      </c>
      <c r="D71" s="24">
        <f>Raw_Data!D71</f>
        <v>494.78567199999998</v>
      </c>
      <c r="E71" s="24">
        <f>Step3_Ld_Coefs!$D$4*Step1_Features!D72+Step3_Ld_Coefs!$D$5*Step1_Features!E72+Step3_Ld_Coefs!$D$6*Step1_Features!F72+Step3_Ld_Coefs!$D$7*Step1_Features!G72+Step3_Ld_Coefs!$D$8*Step1_Features!H72+Step3_Ld_Coefs!$D$9*Step1_Features!I72+Step3_Ld_Coefs!$D$10*Step1_Features!J72+Step3_Ld_Coefs!$D$11*Step1_Features!K72+Step3_Ld_Coefs!$D$12*Step1_Features!L72+Step3_Ld_Coefs!$D$13*Step1_Features!M72+Step3_Ld_Coefs!$D$14*Step1_Features!N72+Step3_Ld_Coefs!$D$15*Step1_Features!O72+Step3_Ld_Coefs!$D$16*Step1_Features!P72+Step3_Ld_Coefs!$D$17*Step1_Features!Q72+Step3_Ld_Coefs!$D$18*Step1_Features!R72</f>
        <v>494.00331783089257</v>
      </c>
      <c r="F71" s="35">
        <f t="shared" si="6"/>
        <v>0.78235416910740696</v>
      </c>
      <c r="G71" s="21">
        <f t="shared" si="7"/>
        <v>0.61207804591974113</v>
      </c>
      <c r="H71" s="24">
        <f t="shared" si="8"/>
        <v>0.15811981093652344</v>
      </c>
    </row>
    <row r="72" spans="1:8" ht="15" customHeight="1" x14ac:dyDescent="0.25">
      <c r="A72" s="16">
        <v>70</v>
      </c>
      <c r="B72" s="21">
        <f>Raw_Data!B72</f>
        <v>-92.523197999999994</v>
      </c>
      <c r="C72" s="21">
        <f>Raw_Data!C72</f>
        <v>0</v>
      </c>
      <c r="D72" s="25">
        <f>Raw_Data!D72</f>
        <v>494.75374199999999</v>
      </c>
      <c r="E72" s="25">
        <f>Step3_Ld_Coefs!$D$4*Step1_Features!D73+Step3_Ld_Coefs!$D$5*Step1_Features!E73+Step3_Ld_Coefs!$D$6*Step1_Features!F73+Step3_Ld_Coefs!$D$7*Step1_Features!G73+Step3_Ld_Coefs!$D$8*Step1_Features!H73+Step3_Ld_Coefs!$D$9*Step1_Features!I73+Step3_Ld_Coefs!$D$10*Step1_Features!J73+Step3_Ld_Coefs!$D$11*Step1_Features!K73+Step3_Ld_Coefs!$D$12*Step1_Features!L73+Step3_Ld_Coefs!$D$13*Step1_Features!M73+Step3_Ld_Coefs!$D$14*Step1_Features!N73+Step3_Ld_Coefs!$D$15*Step1_Features!O73+Step3_Ld_Coefs!$D$16*Step1_Features!P73+Step3_Ld_Coefs!$D$17*Step1_Features!Q73+Step3_Ld_Coefs!$D$18*Step1_Features!R73</f>
        <v>495.20529067581265</v>
      </c>
      <c r="F72" s="35">
        <f t="shared" si="6"/>
        <v>-0.45154867581265989</v>
      </c>
      <c r="G72" s="17">
        <f t="shared" si="7"/>
        <v>0.20389620662816663</v>
      </c>
      <c r="H72" s="25">
        <f t="shared" si="8"/>
        <v>-9.126735939122213E-2</v>
      </c>
    </row>
    <row r="73" spans="1:8" ht="15" customHeight="1" x14ac:dyDescent="0.25">
      <c r="A73" s="27">
        <v>71</v>
      </c>
      <c r="B73" s="21">
        <f>Raw_Data!B73</f>
        <v>0</v>
      </c>
      <c r="C73" s="21">
        <f>Raw_Data!C73</f>
        <v>102.80355299999999</v>
      </c>
      <c r="D73" s="24">
        <f>Raw_Data!D73</f>
        <v>431.73427900000002</v>
      </c>
      <c r="E73" s="24">
        <f>Step3_Ld_Coefs!$D$4*Step1_Features!D74+Step3_Ld_Coefs!$D$5*Step1_Features!E74+Step3_Ld_Coefs!$D$6*Step1_Features!F74+Step3_Ld_Coefs!$D$7*Step1_Features!G74+Step3_Ld_Coefs!$D$8*Step1_Features!H74+Step3_Ld_Coefs!$D$9*Step1_Features!I74+Step3_Ld_Coefs!$D$10*Step1_Features!J74+Step3_Ld_Coefs!$D$11*Step1_Features!K74+Step3_Ld_Coefs!$D$12*Step1_Features!L74+Step3_Ld_Coefs!$D$13*Step1_Features!M74+Step3_Ld_Coefs!$D$14*Step1_Features!N74+Step3_Ld_Coefs!$D$15*Step1_Features!O74+Step3_Ld_Coefs!$D$16*Step1_Features!P74+Step3_Ld_Coefs!$D$17*Step1_Features!Q74+Step3_Ld_Coefs!$D$18*Step1_Features!R74</f>
        <v>430.22407176601808</v>
      </c>
      <c r="F73" s="35">
        <f t="shared" si="6"/>
        <v>1.5102072339819301</v>
      </c>
      <c r="G73" s="21">
        <f t="shared" si="7"/>
        <v>2.2807258895713525</v>
      </c>
      <c r="H73" s="24">
        <f t="shared" si="8"/>
        <v>0.34980016816823806</v>
      </c>
    </row>
    <row r="74" spans="1:8" ht="15" customHeight="1" x14ac:dyDescent="0.25">
      <c r="A74" s="16">
        <v>72</v>
      </c>
      <c r="B74" s="21">
        <f>Raw_Data!B74</f>
        <v>-26.607517999999999</v>
      </c>
      <c r="C74" s="21">
        <f>Raw_Data!C74</f>
        <v>99.300606999999999</v>
      </c>
      <c r="D74" s="25">
        <f>Raw_Data!D74</f>
        <v>456.24278500000003</v>
      </c>
      <c r="E74" s="25">
        <f>Step3_Ld_Coefs!$D$4*Step1_Features!D75+Step3_Ld_Coefs!$D$5*Step1_Features!E75+Step3_Ld_Coefs!$D$6*Step1_Features!F75+Step3_Ld_Coefs!$D$7*Step1_Features!G75+Step3_Ld_Coefs!$D$8*Step1_Features!H75+Step3_Ld_Coefs!$D$9*Step1_Features!I75+Step3_Ld_Coefs!$D$10*Step1_Features!J75+Step3_Ld_Coefs!$D$11*Step1_Features!K75+Step3_Ld_Coefs!$D$12*Step1_Features!L75+Step3_Ld_Coefs!$D$13*Step1_Features!M75+Step3_Ld_Coefs!$D$14*Step1_Features!N75+Step3_Ld_Coefs!$D$15*Step1_Features!O75+Step3_Ld_Coefs!$D$16*Step1_Features!P75+Step3_Ld_Coefs!$D$17*Step1_Features!Q75+Step3_Ld_Coefs!$D$18*Step1_Features!R75</f>
        <v>457.87721289511694</v>
      </c>
      <c r="F74" s="35">
        <f t="shared" si="6"/>
        <v>-1.6344278951169144</v>
      </c>
      <c r="G74" s="17">
        <f t="shared" si="7"/>
        <v>2.6713545443363076</v>
      </c>
      <c r="H74" s="25">
        <f t="shared" si="8"/>
        <v>-0.35823643657552073</v>
      </c>
    </row>
    <row r="75" spans="1:8" ht="15" customHeight="1" x14ac:dyDescent="0.25">
      <c r="A75" s="27">
        <v>73</v>
      </c>
      <c r="B75" s="21">
        <f>Raw_Data!B75</f>
        <v>-51.401777000000003</v>
      </c>
      <c r="C75" s="21">
        <f>Raw_Data!C75</f>
        <v>89.030489000000003</v>
      </c>
      <c r="D75" s="24">
        <f>Raw_Data!D75</f>
        <v>475.901906</v>
      </c>
      <c r="E75" s="24">
        <f>Step3_Ld_Coefs!$D$4*Step1_Features!D76+Step3_Ld_Coefs!$D$5*Step1_Features!E76+Step3_Ld_Coefs!$D$6*Step1_Features!F76+Step3_Ld_Coefs!$D$7*Step1_Features!G76+Step3_Ld_Coefs!$D$8*Step1_Features!H76+Step3_Ld_Coefs!$D$9*Step1_Features!I76+Step3_Ld_Coefs!$D$10*Step1_Features!J76+Step3_Ld_Coefs!$D$11*Step1_Features!K76+Step3_Ld_Coefs!$D$12*Step1_Features!L76+Step3_Ld_Coefs!$D$13*Step1_Features!M76+Step3_Ld_Coefs!$D$14*Step1_Features!N76+Step3_Ld_Coefs!$D$15*Step1_Features!O76+Step3_Ld_Coefs!$D$16*Step1_Features!P76+Step3_Ld_Coefs!$D$17*Step1_Features!Q76+Step3_Ld_Coefs!$D$18*Step1_Features!R76</f>
        <v>475.02566430737522</v>
      </c>
      <c r="F75" s="35">
        <f t="shared" si="6"/>
        <v>0.8762416926247738</v>
      </c>
      <c r="G75" s="21">
        <f t="shared" si="7"/>
        <v>0.76779950389392859</v>
      </c>
      <c r="H75" s="24">
        <f t="shared" si="8"/>
        <v>0.18412233310634687</v>
      </c>
    </row>
    <row r="76" spans="1:8" ht="15" customHeight="1" x14ac:dyDescent="0.25">
      <c r="A76" s="16">
        <v>74</v>
      </c>
      <c r="B76" s="21">
        <f>Raw_Data!B76</f>
        <v>-72.693089999999998</v>
      </c>
      <c r="C76" s="21">
        <f>Raw_Data!C76</f>
        <v>72.693089999999998</v>
      </c>
      <c r="D76" s="25">
        <f>Raw_Data!D76</f>
        <v>486.28670599999998</v>
      </c>
      <c r="E76" s="25">
        <f>Step3_Ld_Coefs!$D$4*Step1_Features!D77+Step3_Ld_Coefs!$D$5*Step1_Features!E77+Step3_Ld_Coefs!$D$6*Step1_Features!F77+Step3_Ld_Coefs!$D$7*Step1_Features!G77+Step3_Ld_Coefs!$D$8*Step1_Features!H77+Step3_Ld_Coefs!$D$9*Step1_Features!I77+Step3_Ld_Coefs!$D$10*Step1_Features!J77+Step3_Ld_Coefs!$D$11*Step1_Features!K77+Step3_Ld_Coefs!$D$12*Step1_Features!L77+Step3_Ld_Coefs!$D$13*Step1_Features!M77+Step3_Ld_Coefs!$D$14*Step1_Features!N77+Step3_Ld_Coefs!$D$15*Step1_Features!O77+Step3_Ld_Coefs!$D$16*Step1_Features!P77+Step3_Ld_Coefs!$D$17*Step1_Features!Q77+Step3_Ld_Coefs!$D$18*Step1_Features!R77</f>
        <v>486.13480153416305</v>
      </c>
      <c r="F76" s="35">
        <f t="shared" si="6"/>
        <v>0.15190446583693529</v>
      </c>
      <c r="G76" s="17">
        <f t="shared" si="7"/>
        <v>2.3074966741204638E-2</v>
      </c>
      <c r="H76" s="25">
        <f t="shared" si="8"/>
        <v>3.1237634910162501E-2</v>
      </c>
    </row>
    <row r="77" spans="1:8" ht="15" customHeight="1" x14ac:dyDescent="0.25">
      <c r="A77" s="27">
        <v>75</v>
      </c>
      <c r="B77" s="21">
        <f>Raw_Data!B77</f>
        <v>-89.030489000000003</v>
      </c>
      <c r="C77" s="21">
        <f>Raw_Data!C77</f>
        <v>51.401777000000003</v>
      </c>
      <c r="D77" s="24">
        <f>Raw_Data!D77</f>
        <v>490.23120499999999</v>
      </c>
      <c r="E77" s="24">
        <f>Step3_Ld_Coefs!$D$4*Step1_Features!D78+Step3_Ld_Coefs!$D$5*Step1_Features!E78+Step3_Ld_Coefs!$D$6*Step1_Features!F78+Step3_Ld_Coefs!$D$7*Step1_Features!G78+Step3_Ld_Coefs!$D$8*Step1_Features!H78+Step3_Ld_Coefs!$D$9*Step1_Features!I78+Step3_Ld_Coefs!$D$10*Step1_Features!J78+Step3_Ld_Coefs!$D$11*Step1_Features!K78+Step3_Ld_Coefs!$D$12*Step1_Features!L78+Step3_Ld_Coefs!$D$13*Step1_Features!M78+Step3_Ld_Coefs!$D$14*Step1_Features!N78+Step3_Ld_Coefs!$D$15*Step1_Features!O78+Step3_Ld_Coefs!$D$16*Step1_Features!P78+Step3_Ld_Coefs!$D$17*Step1_Features!Q78+Step3_Ld_Coefs!$D$18*Step1_Features!R78</f>
        <v>491.23943780111517</v>
      </c>
      <c r="F77" s="35">
        <f t="shared" si="6"/>
        <v>-1.0082328011151844</v>
      </c>
      <c r="G77" s="21">
        <f t="shared" si="7"/>
        <v>1.0165333812445709</v>
      </c>
      <c r="H77" s="24">
        <f t="shared" si="8"/>
        <v>-0.20566475386143246</v>
      </c>
    </row>
    <row r="78" spans="1:8" ht="15" customHeight="1" x14ac:dyDescent="0.25">
      <c r="A78" s="16">
        <v>76</v>
      </c>
      <c r="B78" s="21">
        <f>Raw_Data!B78</f>
        <v>-99.300606999999999</v>
      </c>
      <c r="C78" s="21">
        <f>Raw_Data!C78</f>
        <v>26.607517999999999</v>
      </c>
      <c r="D78" s="25">
        <f>Raw_Data!D78</f>
        <v>493.75380100000001</v>
      </c>
      <c r="E78" s="25">
        <f>Step3_Ld_Coefs!$D$4*Step1_Features!D79+Step3_Ld_Coefs!$D$5*Step1_Features!E79+Step3_Ld_Coefs!$D$6*Step1_Features!F79+Step3_Ld_Coefs!$D$7*Step1_Features!G79+Step3_Ld_Coefs!$D$8*Step1_Features!H79+Step3_Ld_Coefs!$D$9*Step1_Features!I79+Step3_Ld_Coefs!$D$10*Step1_Features!J79+Step3_Ld_Coefs!$D$11*Step1_Features!K79+Step3_Ld_Coefs!$D$12*Step1_Features!L79+Step3_Ld_Coefs!$D$13*Step1_Features!M79+Step3_Ld_Coefs!$D$14*Step1_Features!N79+Step3_Ld_Coefs!$D$15*Step1_Features!O79+Step3_Ld_Coefs!$D$16*Step1_Features!P79+Step3_Ld_Coefs!$D$17*Step1_Features!Q79+Step3_Ld_Coefs!$D$18*Step1_Features!R79</f>
        <v>492.90070631231288</v>
      </c>
      <c r="F78" s="35">
        <f t="shared" si="6"/>
        <v>0.85309468768713259</v>
      </c>
      <c r="G78" s="17">
        <f t="shared" si="7"/>
        <v>0.72777054616000625</v>
      </c>
      <c r="H78" s="25">
        <f t="shared" si="8"/>
        <v>0.17277734084463942</v>
      </c>
    </row>
    <row r="79" spans="1:8" ht="15" customHeight="1" x14ac:dyDescent="0.25">
      <c r="A79" s="27">
        <v>77</v>
      </c>
      <c r="B79" s="21">
        <f>Raw_Data!B79</f>
        <v>-102.80355299999999</v>
      </c>
      <c r="C79" s="21">
        <f>Raw_Data!C79</f>
        <v>0</v>
      </c>
      <c r="D79" s="24">
        <f>Raw_Data!D79</f>
        <v>494.206076</v>
      </c>
      <c r="E79" s="24">
        <f>Step3_Ld_Coefs!$D$4*Step1_Features!D80+Step3_Ld_Coefs!$D$5*Step1_Features!E80+Step3_Ld_Coefs!$D$6*Step1_Features!F80+Step3_Ld_Coefs!$D$7*Step1_Features!G80+Step3_Ld_Coefs!$D$8*Step1_Features!H80+Step3_Ld_Coefs!$D$9*Step1_Features!I80+Step3_Ld_Coefs!$D$10*Step1_Features!J80+Step3_Ld_Coefs!$D$11*Step1_Features!K80+Step3_Ld_Coefs!$D$12*Step1_Features!L80+Step3_Ld_Coefs!$D$13*Step1_Features!M80+Step3_Ld_Coefs!$D$14*Step1_Features!N80+Step3_Ld_Coefs!$D$15*Step1_Features!O80+Step3_Ld_Coefs!$D$16*Step1_Features!P80+Step3_Ld_Coefs!$D$17*Step1_Features!Q80+Step3_Ld_Coefs!$D$18*Step1_Features!R80</f>
        <v>494.46438569367734</v>
      </c>
      <c r="F79" s="35">
        <f t="shared" si="6"/>
        <v>-0.25830969367734724</v>
      </c>
      <c r="G79" s="21">
        <f t="shared" si="7"/>
        <v>6.6723897847684968E-2</v>
      </c>
      <c r="H79" s="24">
        <f t="shared" si="8"/>
        <v>-5.226760783033093E-2</v>
      </c>
    </row>
    <row r="80" spans="1:8" ht="15" customHeight="1" x14ac:dyDescent="0.25">
      <c r="A80" s="36" t="s">
        <v>118</v>
      </c>
      <c r="B80" s="37"/>
      <c r="C80" s="37"/>
      <c r="D80" s="38" t="s">
        <v>119</v>
      </c>
      <c r="E80" s="39">
        <f>1-SUMPRODUCT((D3:D79-E3:E79)^2)/SUMPRODUCT((D3:D79-AVERAGE(D3:D79))^2)</f>
        <v>0.99798819124408256</v>
      </c>
      <c r="F80" s="40">
        <f>MAX(F3:F79,-MIN(F3:F79))</f>
        <v>1.6344278951169144</v>
      </c>
      <c r="G80" s="41">
        <f>SQRT(SUMPRODUCT(G3:G79)/77)</f>
        <v>0.62456119049795167</v>
      </c>
      <c r="H80" s="37"/>
    </row>
    <row r="82" spans="1:8" ht="15" customHeight="1" x14ac:dyDescent="0.25">
      <c r="A82" s="2" t="s">
        <v>120</v>
      </c>
      <c r="B82" s="2"/>
      <c r="C82" s="2"/>
      <c r="D82" s="2"/>
      <c r="E82" s="2"/>
      <c r="F82" s="2"/>
      <c r="G82" s="2"/>
      <c r="H82" s="2"/>
    </row>
  </sheetData>
  <mergeCells count="2">
    <mergeCell ref="A1:H1"/>
    <mergeCell ref="A82:H8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6"/>
  <sheetViews>
    <sheetView zoomScaleNormal="100" workbookViewId="0">
      <selection activeCell="D30" sqref="D30"/>
    </sheetView>
  </sheetViews>
  <sheetFormatPr defaultColWidth="8.7109375" defaultRowHeight="15" x14ac:dyDescent="0.25"/>
  <cols>
    <col min="1" max="1" width="14" customWidth="1"/>
    <col min="2" max="2" width="20.7109375" customWidth="1"/>
    <col min="3" max="3" width="30.7109375" customWidth="1"/>
    <col min="4" max="5" width="20.7109375" customWidth="1"/>
    <col min="6" max="6" width="40.7109375" customWidth="1"/>
  </cols>
  <sheetData>
    <row r="1" spans="1:22" ht="18" customHeight="1" x14ac:dyDescent="0.25">
      <c r="A1" s="6" t="s">
        <v>121</v>
      </c>
      <c r="B1" s="6"/>
      <c r="C1" s="6"/>
      <c r="D1" s="6"/>
      <c r="E1" s="6"/>
    </row>
    <row r="2" spans="1:22" ht="15.75" customHeight="1" x14ac:dyDescent="0.25">
      <c r="A2" s="4" t="s">
        <v>122</v>
      </c>
      <c r="B2" s="4"/>
      <c r="C2" s="4"/>
      <c r="D2" s="4"/>
      <c r="E2" s="4"/>
    </row>
    <row r="5" spans="1:22" ht="15.75" customHeight="1" x14ac:dyDescent="0.25">
      <c r="A5" s="13" t="s">
        <v>26</v>
      </c>
      <c r="B5" s="13" t="s">
        <v>27</v>
      </c>
      <c r="C5" s="13" t="s">
        <v>28</v>
      </c>
      <c r="D5" s="13" t="s">
        <v>123</v>
      </c>
      <c r="E5" s="13" t="s">
        <v>124</v>
      </c>
    </row>
    <row r="6" spans="1:22" ht="15" customHeight="1" x14ac:dyDescent="0.25">
      <c r="A6" s="42">
        <v>-30</v>
      </c>
      <c r="B6" s="42">
        <v>20</v>
      </c>
      <c r="C6" s="43">
        <f>Step3_Ld_Coefs!D4*1+Step3_Ld_Coefs!D5*A6+Step3_Ld_Coefs!D6*B6+Step3_Ld_Coefs!D7*A6^2+Step3_Ld_Coefs!D8*A6*B6+Step3_Ld_Coefs!D9*B6^2+Step3_Ld_Coefs!D10*A6^3+Step3_Ld_Coefs!D11*A6^2*B6+Step3_Ld_Coefs!D12*A6*B6^2+Step3_Ld_Coefs!D13*B6^3+Step3_Ld_Coefs!D14*A6^4+Step3_Ld_Coefs!D15*A6^3*B6+Step3_Ld_Coefs!D16*A6^2*B6^2+Step3_Ld_Coefs!D17*A6*B6^3+Step3_Ld_Coefs!D18*B6^4</f>
        <v>500.02827745681105</v>
      </c>
      <c r="D6" s="81">
        <f>Step3_Ld_Coefs!$D$4*H6+Step3_Ld_Coefs!$D$5*I6+Step3_Ld_Coefs!$D$6*J6+Step3_Ld_Coefs!$D$7*K6+Step3_Ld_Coefs!$D$8*L6+Step3_Ld_Coefs!$D$9*M6+Step3_Ld_Coefs!$D$10*N6+Step3_Ld_Coefs!$D$11*O6+Step3_Ld_Coefs!$D$12*P6+Step3_Ld_Coefs!$D$13*Q6+Step3_Ld_Coefs!$D$14*R6+Step3_Ld_Coefs!$D$15*S6+Step3_Ld_Coefs!$D$16*T6+Step3_Ld_Coefs!$D$17*U6+Step3_Ld_Coefs!$D$18*V6</f>
        <v>500.02827745681105</v>
      </c>
      <c r="E6" s="44" t="s">
        <v>125</v>
      </c>
      <c r="G6" s="45" t="s">
        <v>126</v>
      </c>
      <c r="H6" s="70">
        <f>1</f>
        <v>1</v>
      </c>
      <c r="I6" s="70">
        <f>A6</f>
        <v>-30</v>
      </c>
      <c r="J6" s="70">
        <f>B6</f>
        <v>20</v>
      </c>
      <c r="K6" s="70">
        <f>A6^2</f>
        <v>900</v>
      </c>
      <c r="L6" s="70">
        <f>A6*B6</f>
        <v>-600</v>
      </c>
      <c r="M6" s="70">
        <f>B6^2</f>
        <v>400</v>
      </c>
      <c r="N6" s="70">
        <f>A6^3</f>
        <v>-27000</v>
      </c>
      <c r="O6" s="70">
        <f>A6^2*B6</f>
        <v>18000</v>
      </c>
      <c r="P6" s="70">
        <f>A6*B6^2</f>
        <v>-12000</v>
      </c>
      <c r="Q6" s="70">
        <f>B6^3</f>
        <v>8000</v>
      </c>
      <c r="R6" s="70">
        <f>A6^4</f>
        <v>810000</v>
      </c>
      <c r="S6" s="70">
        <f>A6^3*B6</f>
        <v>-540000</v>
      </c>
      <c r="T6" s="70">
        <f>A6^2*B6^2</f>
        <v>360000</v>
      </c>
      <c r="U6" s="70">
        <f>A6*B6^3</f>
        <v>-240000</v>
      </c>
      <c r="V6" s="70">
        <f>B6^4</f>
        <v>160000</v>
      </c>
    </row>
    <row r="8" spans="1:22" ht="7.5" customHeight="1" x14ac:dyDescent="0.25"/>
    <row r="9" spans="1:22" ht="18" customHeight="1" x14ac:dyDescent="0.25">
      <c r="A9" s="6" t="s">
        <v>127</v>
      </c>
      <c r="B9" s="6"/>
      <c r="C9" s="6"/>
      <c r="D9" s="6"/>
      <c r="E9" s="6"/>
    </row>
    <row r="10" spans="1:22" ht="30" customHeight="1" x14ac:dyDescent="0.25">
      <c r="A10" s="22" t="s">
        <v>53</v>
      </c>
      <c r="B10" s="22" t="s">
        <v>128</v>
      </c>
      <c r="C10" s="22" t="s">
        <v>129</v>
      </c>
      <c r="D10" s="22" t="s">
        <v>130</v>
      </c>
      <c r="E10" s="22" t="s">
        <v>131</v>
      </c>
    </row>
    <row r="11" spans="1:22" ht="15" customHeight="1" x14ac:dyDescent="0.25">
      <c r="A11" s="23" t="s">
        <v>35</v>
      </c>
      <c r="B11" s="29">
        <f>Step3_Ld_Coefs!D4</f>
        <v>500.41550710581578</v>
      </c>
      <c r="C11" s="28" t="s">
        <v>132</v>
      </c>
      <c r="D11" s="71">
        <f>1</f>
        <v>1</v>
      </c>
      <c r="E11" s="21">
        <f t="shared" ref="E11:E25" si="0">B11*D11</f>
        <v>500.41550710581578</v>
      </c>
    </row>
    <row r="12" spans="1:22" ht="15" customHeight="1" x14ac:dyDescent="0.25">
      <c r="A12" s="23" t="s">
        <v>36</v>
      </c>
      <c r="B12" s="31">
        <f>Step3_Ld_Coefs!D5</f>
        <v>-0.17118854126601946</v>
      </c>
      <c r="C12" s="30" t="s">
        <v>133</v>
      </c>
      <c r="D12" s="72">
        <f>A6</f>
        <v>-30</v>
      </c>
      <c r="E12" s="17">
        <f t="shared" si="0"/>
        <v>5.1356562379805837</v>
      </c>
    </row>
    <row r="13" spans="1:22" ht="15" customHeight="1" x14ac:dyDescent="0.25">
      <c r="A13" s="23" t="s">
        <v>37</v>
      </c>
      <c r="B13" s="29">
        <f>Step3_Ld_Coefs!D6</f>
        <v>7.8991779806074192E-2</v>
      </c>
      <c r="C13" s="28" t="s">
        <v>134</v>
      </c>
      <c r="D13" s="71">
        <f>B6</f>
        <v>20</v>
      </c>
      <c r="E13" s="21">
        <f t="shared" si="0"/>
        <v>1.5798355961214838</v>
      </c>
    </row>
    <row r="14" spans="1:22" ht="15" customHeight="1" x14ac:dyDescent="0.25">
      <c r="A14" s="23" t="s">
        <v>38</v>
      </c>
      <c r="B14" s="31">
        <f>Step3_Ld_Coefs!D7</f>
        <v>-7.9838517036918688E-3</v>
      </c>
      <c r="C14" s="30" t="s">
        <v>135</v>
      </c>
      <c r="D14" s="72">
        <f>A6^2</f>
        <v>900</v>
      </c>
      <c r="E14" s="17">
        <f t="shared" si="0"/>
        <v>-7.1854665333226819</v>
      </c>
    </row>
    <row r="15" spans="1:22" ht="15" customHeight="1" x14ac:dyDescent="0.25">
      <c r="A15" s="23" t="s">
        <v>39</v>
      </c>
      <c r="B15" s="29">
        <f>Step3_Ld_Coefs!D8</f>
        <v>-7.8011760940093211E-3</v>
      </c>
      <c r="C15" s="28" t="s">
        <v>136</v>
      </c>
      <c r="D15" s="71">
        <f>A6*B6</f>
        <v>-600</v>
      </c>
      <c r="E15" s="21">
        <f t="shared" si="0"/>
        <v>4.6807056564055927</v>
      </c>
    </row>
    <row r="16" spans="1:22" ht="15" customHeight="1" x14ac:dyDescent="0.25">
      <c r="A16" s="23" t="s">
        <v>40</v>
      </c>
      <c r="B16" s="31">
        <f>Step3_Ld_Coefs!D9</f>
        <v>-1.8291944591595666E-2</v>
      </c>
      <c r="C16" s="30" t="s">
        <v>137</v>
      </c>
      <c r="D16" s="72">
        <f>B6^2</f>
        <v>400</v>
      </c>
      <c r="E16" s="17">
        <f t="shared" si="0"/>
        <v>-7.3167778366382663</v>
      </c>
    </row>
    <row r="17" spans="1:5" ht="15" customHeight="1" x14ac:dyDescent="0.25">
      <c r="A17" s="23" t="s">
        <v>41</v>
      </c>
      <c r="B17" s="29">
        <f>Step3_Ld_Coefs!D10</f>
        <v>-9.3273656967096663E-5</v>
      </c>
      <c r="C17" s="28" t="s">
        <v>138</v>
      </c>
      <c r="D17" s="71">
        <f>A6^3</f>
        <v>-27000</v>
      </c>
      <c r="E17" s="21">
        <f t="shared" si="0"/>
        <v>2.5183887381116099</v>
      </c>
    </row>
    <row r="18" spans="1:5" ht="15" customHeight="1" x14ac:dyDescent="0.25">
      <c r="A18" s="23" t="s">
        <v>42</v>
      </c>
      <c r="B18" s="31">
        <f>Step3_Ld_Coefs!D11</f>
        <v>-1.4440794345199626E-4</v>
      </c>
      <c r="C18" s="30" t="s">
        <v>139</v>
      </c>
      <c r="D18" s="72">
        <f>A6^2*B6</f>
        <v>18000</v>
      </c>
      <c r="E18" s="17">
        <f t="shared" si="0"/>
        <v>-2.5993429821359326</v>
      </c>
    </row>
    <row r="19" spans="1:5" ht="15" customHeight="1" x14ac:dyDescent="0.25">
      <c r="A19" s="23" t="s">
        <v>43</v>
      </c>
      <c r="B19" s="29">
        <f>Step3_Ld_Coefs!D12</f>
        <v>-1.2093610072283489E-4</v>
      </c>
      <c r="C19" s="28" t="s">
        <v>140</v>
      </c>
      <c r="D19" s="71">
        <f>A6*B6^2</f>
        <v>-12000</v>
      </c>
      <c r="E19" s="21">
        <f t="shared" si="0"/>
        <v>1.4512332086740187</v>
      </c>
    </row>
    <row r="20" spans="1:5" ht="15" customHeight="1" x14ac:dyDescent="0.25">
      <c r="A20" s="23" t="s">
        <v>44</v>
      </c>
      <c r="B20" s="31">
        <f>Step3_Ld_Coefs!D13</f>
        <v>2.0428916511905371E-4</v>
      </c>
      <c r="C20" s="30" t="s">
        <v>141</v>
      </c>
      <c r="D20" s="72">
        <f>B6^3</f>
        <v>8000</v>
      </c>
      <c r="E20" s="17">
        <f t="shared" si="0"/>
        <v>1.6343133209524296</v>
      </c>
    </row>
    <row r="21" spans="1:5" ht="15" customHeight="1" x14ac:dyDescent="0.25">
      <c r="A21" s="23" t="s">
        <v>45</v>
      </c>
      <c r="B21" s="29">
        <f>Step3_Ld_Coefs!D14</f>
        <v>-3.6270831663695949E-7</v>
      </c>
      <c r="C21" s="28" t="s">
        <v>142</v>
      </c>
      <c r="D21" s="71">
        <f>A6^4</f>
        <v>810000</v>
      </c>
      <c r="E21" s="21">
        <f t="shared" si="0"/>
        <v>-0.29379373647593721</v>
      </c>
    </row>
    <row r="22" spans="1:5" ht="15" customHeight="1" x14ac:dyDescent="0.25">
      <c r="A22" s="23" t="s">
        <v>46</v>
      </c>
      <c r="B22" s="31">
        <f>Step3_Ld_Coefs!D15</f>
        <v>-5.7514287666801667E-7</v>
      </c>
      <c r="C22" s="30" t="s">
        <v>143</v>
      </c>
      <c r="D22" s="72">
        <f>A6^3*B6</f>
        <v>-540000</v>
      </c>
      <c r="E22" s="17">
        <f t="shared" si="0"/>
        <v>0.310577153400729</v>
      </c>
    </row>
    <row r="23" spans="1:5" ht="15" customHeight="1" x14ac:dyDescent="0.25">
      <c r="A23" s="23" t="s">
        <v>47</v>
      </c>
      <c r="B23" s="29">
        <f>Step3_Ld_Coefs!D16</f>
        <v>1.3937826203575497E-7</v>
      </c>
      <c r="C23" s="28" t="s">
        <v>144</v>
      </c>
      <c r="D23" s="71">
        <f>A6^2*B6^2</f>
        <v>360000</v>
      </c>
      <c r="E23" s="21">
        <f t="shared" si="0"/>
        <v>5.017617433287179E-2</v>
      </c>
    </row>
    <row r="24" spans="1:5" ht="15" customHeight="1" x14ac:dyDescent="0.25">
      <c r="A24" s="23" t="s">
        <v>48</v>
      </c>
      <c r="B24" s="31">
        <f>Step3_Ld_Coefs!D17</f>
        <v>8.3138154947058618E-7</v>
      </c>
      <c r="C24" s="30" t="s">
        <v>145</v>
      </c>
      <c r="D24" s="72">
        <f>A6*B6^3</f>
        <v>-240000</v>
      </c>
      <c r="E24" s="17">
        <f t="shared" si="0"/>
        <v>-0.19953157187294068</v>
      </c>
    </row>
    <row r="25" spans="1:5" ht="15" customHeight="1" x14ac:dyDescent="0.25">
      <c r="A25" s="23" t="s">
        <v>49</v>
      </c>
      <c r="B25" s="29">
        <f>Step3_Ld_Coefs!D18</f>
        <v>-9.5751921586409439E-7</v>
      </c>
      <c r="C25" s="28" t="s">
        <v>146</v>
      </c>
      <c r="D25" s="71">
        <f>B6^4</f>
        <v>160000</v>
      </c>
      <c r="E25" s="21">
        <f t="shared" si="0"/>
        <v>-0.1532030745382551</v>
      </c>
    </row>
    <row r="26" spans="1:5" ht="15" customHeight="1" x14ac:dyDescent="0.25">
      <c r="A26" s="33" t="s">
        <v>147</v>
      </c>
      <c r="B26" s="32"/>
      <c r="C26" s="32"/>
      <c r="D26" s="32"/>
      <c r="E26" s="34">
        <f>SUM(E11:E25)</f>
        <v>500.02827745681105</v>
      </c>
    </row>
  </sheetData>
  <mergeCells count="3">
    <mergeCell ref="A1:E1"/>
    <mergeCell ref="A2:E2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7"/>
  <sheetViews>
    <sheetView zoomScaleNormal="100" workbookViewId="0">
      <selection activeCell="H27" sqref="H27"/>
    </sheetView>
  </sheetViews>
  <sheetFormatPr defaultColWidth="8.7109375" defaultRowHeight="15" x14ac:dyDescent="0.25"/>
  <cols>
    <col min="1" max="1" width="13" customWidth="1"/>
    <col min="2" max="16" width="20.7109375" customWidth="1"/>
  </cols>
  <sheetData>
    <row r="1" spans="1:17" ht="18" customHeight="1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 x14ac:dyDescent="0.25">
      <c r="A2" s="19" t="s">
        <v>51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27.75" customHeight="1" x14ac:dyDescent="0.25">
      <c r="A3" s="46" t="s">
        <v>53</v>
      </c>
      <c r="B3" s="20" t="s">
        <v>35</v>
      </c>
      <c r="C3" s="20" t="s">
        <v>36</v>
      </c>
      <c r="D3" s="20" t="s">
        <v>37</v>
      </c>
      <c r="E3" s="20" t="s">
        <v>38</v>
      </c>
      <c r="F3" s="20" t="s">
        <v>39</v>
      </c>
      <c r="G3" s="20" t="s">
        <v>40</v>
      </c>
      <c r="H3" s="20" t="s">
        <v>41</v>
      </c>
      <c r="I3" s="20" t="s">
        <v>42</v>
      </c>
      <c r="J3" s="20" t="s">
        <v>43</v>
      </c>
      <c r="K3" s="20" t="s">
        <v>44</v>
      </c>
      <c r="L3" s="20" t="s">
        <v>45</v>
      </c>
      <c r="M3" s="20" t="s">
        <v>46</v>
      </c>
      <c r="N3" s="20" t="s">
        <v>47</v>
      </c>
      <c r="O3" s="20" t="s">
        <v>48</v>
      </c>
      <c r="P3" s="20" t="s">
        <v>49</v>
      </c>
    </row>
    <row r="4" spans="1:17" s="62" customFormat="1" ht="15" customHeight="1" x14ac:dyDescent="0.25">
      <c r="A4" s="73" t="s">
        <v>35</v>
      </c>
      <c r="B4" s="74">
        <f>SUMPRODUCT(Step1_Features!D$4:D$80,Step1_Features!D$4:D$80)</f>
        <v>77</v>
      </c>
      <c r="C4" s="75">
        <f>SUMPRODUCT(Step1_Features!D$4:D$80,Step1_Features!E$4:E$80)</f>
        <v>-2430.1036870000007</v>
      </c>
      <c r="D4" s="75">
        <f>SUMPRODUCT(Step1_Features!D$4:D$80,Step1_Features!F$4:F$80)</f>
        <v>2430.1036870000003</v>
      </c>
      <c r="E4" s="75">
        <f>SUMPRODUCT(Step1_Features!D$4:D$80,Step1_Features!G$4:G$80)</f>
        <v>142411.48884676251</v>
      </c>
      <c r="F4" s="75">
        <f>SUMPRODUCT(Step1_Features!D$4:D$80,Step1_Features!H$4:H$80)</f>
        <v>-75926.701994156349</v>
      </c>
      <c r="G4" s="75">
        <f>SUMPRODUCT(Step1_Features!D$4:D$80,Step1_Features!I$4:I$80)</f>
        <v>142411.48884676248</v>
      </c>
      <c r="H4" s="75">
        <f>SUMPRODUCT(Step1_Features!D$4:D$80,Step1_Features!J$4:J$80)</f>
        <v>-10013124.789595528</v>
      </c>
      <c r="I4" s="75">
        <f>SUMPRODUCT(Step1_Features!D$4:D$80,Step1_Features!K$4:K$80)</f>
        <v>4112372.5225680848</v>
      </c>
      <c r="J4" s="75">
        <f>SUMPRODUCT(Step1_Features!D$4:D$80,Step1_Features!L$4:L$80)</f>
        <v>-4112372.5225680852</v>
      </c>
      <c r="K4" s="75">
        <f>SUMPRODUCT(Step1_Features!D$4:D$80,Step1_Features!M$4:M$80)</f>
        <v>10013124.789595528</v>
      </c>
      <c r="L4" s="75">
        <f>SUMPRODUCT(Step1_Features!D$4:D$80,Step1_Features!N$4:N$80)</f>
        <v>778129395.38952565</v>
      </c>
      <c r="M4" s="75">
        <f>SUMPRODUCT(Step1_Features!D$4:D$80,Step1_Features!O$4:O$80)</f>
        <v>-264001678.45402309</v>
      </c>
      <c r="N4" s="75">
        <f>SUMPRODUCT(Step1_Features!D$4:D$80,Step1_Features!P$4:P$80)</f>
        <v>212217109.93177155</v>
      </c>
      <c r="O4" s="75">
        <f>SUMPRODUCT(Step1_Features!D$4:D$80,Step1_Features!Q$4:Q$80)</f>
        <v>-264001678.45402309</v>
      </c>
      <c r="P4" s="75">
        <f>SUMPRODUCT(Step1_Features!D$4:D$80,Step1_Features!R$4:R$80)</f>
        <v>778129395.38952565</v>
      </c>
    </row>
    <row r="5" spans="1:17" s="62" customFormat="1" ht="15" customHeight="1" x14ac:dyDescent="0.25">
      <c r="A5" s="73" t="s">
        <v>36</v>
      </c>
      <c r="B5" s="63">
        <f>SUMPRODUCT(Step1_Features!E$4:E$80,Step1_Features!D$4:D$80)</f>
        <v>-2430.1036870000007</v>
      </c>
      <c r="C5" s="74">
        <f>SUMPRODUCT(Step1_Features!E$4:E$80,Step1_Features!E$4:E$80)</f>
        <v>142411.48884676251</v>
      </c>
      <c r="D5" s="63">
        <f>SUMPRODUCT(Step1_Features!E$4:E$80,Step1_Features!F$4:F$80)</f>
        <v>-75926.701994156349</v>
      </c>
      <c r="E5" s="63">
        <f>SUMPRODUCT(Step1_Features!E$4:E$80,Step1_Features!G$4:G$80)</f>
        <v>-10013124.789595528</v>
      </c>
      <c r="F5" s="63">
        <f>SUMPRODUCT(Step1_Features!E$4:E$80,Step1_Features!H$4:H$80)</f>
        <v>4112372.5225680848</v>
      </c>
      <c r="G5" s="63">
        <f>SUMPRODUCT(Step1_Features!E$4:E$80,Step1_Features!I$4:I$80)</f>
        <v>-4112372.5225680852</v>
      </c>
      <c r="H5" s="63">
        <f>SUMPRODUCT(Step1_Features!E$4:E$80,Step1_Features!J$4:J$80)</f>
        <v>778129395.38952553</v>
      </c>
      <c r="I5" s="63">
        <f>SUMPRODUCT(Step1_Features!E$4:E$80,Step1_Features!K$4:K$80)</f>
        <v>-264001678.45402309</v>
      </c>
      <c r="J5" s="63">
        <f>SUMPRODUCT(Step1_Features!E$4:E$80,Step1_Features!L$4:L$80)</f>
        <v>212217109.93177155</v>
      </c>
      <c r="K5" s="63">
        <f>SUMPRODUCT(Step1_Features!E$4:E$80,Step1_Features!M$4:M$80)</f>
        <v>-264001678.45402309</v>
      </c>
      <c r="L5" s="63">
        <f>SUMPRODUCT(Step1_Features!E$4:E$80,Step1_Features!N$4:N$80)</f>
        <v>-64333891352.440445</v>
      </c>
      <c r="M5" s="63">
        <f>SUMPRODUCT(Step1_Features!E$4:E$80,Step1_Features!O$4:O$80)</f>
        <v>18809254128.767746</v>
      </c>
      <c r="N5" s="63">
        <f>SUMPRODUCT(Step1_Features!E$4:E$80,Step1_Features!P$4:P$80)</f>
        <v>-12917932501.323334</v>
      </c>
      <c r="O5" s="63">
        <f>SUMPRODUCT(Step1_Features!E$4:E$80,Step1_Features!Q$4:Q$80)</f>
        <v>12917932501.32333</v>
      </c>
      <c r="P5" s="63">
        <f>SUMPRODUCT(Step1_Features!E$4:E$80,Step1_Features!R$4:R$80)</f>
        <v>-18809254128.76775</v>
      </c>
    </row>
    <row r="6" spans="1:17" s="62" customFormat="1" ht="15" customHeight="1" x14ac:dyDescent="0.25">
      <c r="A6" s="73" t="s">
        <v>37</v>
      </c>
      <c r="B6" s="75">
        <f>SUMPRODUCT(Step1_Features!F$4:F$80,Step1_Features!D$4:D$80)</f>
        <v>2430.1036870000003</v>
      </c>
      <c r="C6" s="75">
        <f>SUMPRODUCT(Step1_Features!F$4:F$80,Step1_Features!E$4:E$80)</f>
        <v>-75926.701994156349</v>
      </c>
      <c r="D6" s="74">
        <f>SUMPRODUCT(Step1_Features!F$4:F$80,Step1_Features!F$4:F$80)</f>
        <v>142411.48884676248</v>
      </c>
      <c r="E6" s="75">
        <f>SUMPRODUCT(Step1_Features!F$4:F$80,Step1_Features!G$4:G$80)</f>
        <v>4112372.5225680848</v>
      </c>
      <c r="F6" s="75">
        <f>SUMPRODUCT(Step1_Features!F$4:F$80,Step1_Features!H$4:H$80)</f>
        <v>-4112372.5225680852</v>
      </c>
      <c r="G6" s="75">
        <f>SUMPRODUCT(Step1_Features!F$4:F$80,Step1_Features!I$4:I$80)</f>
        <v>10013124.789595528</v>
      </c>
      <c r="H6" s="75">
        <f>SUMPRODUCT(Step1_Features!F$4:F$80,Step1_Features!J$4:J$80)</f>
        <v>-264001678.45402309</v>
      </c>
      <c r="I6" s="75">
        <f>SUMPRODUCT(Step1_Features!F$4:F$80,Step1_Features!K$4:K$80)</f>
        <v>212217109.93177158</v>
      </c>
      <c r="J6" s="75">
        <f>SUMPRODUCT(Step1_Features!F$4:F$80,Step1_Features!L$4:L$80)</f>
        <v>-264001678.45402309</v>
      </c>
      <c r="K6" s="75">
        <f>SUMPRODUCT(Step1_Features!F$4:F$80,Step1_Features!M$4:M$80)</f>
        <v>778129395.38952553</v>
      </c>
      <c r="L6" s="75">
        <f>SUMPRODUCT(Step1_Features!F$4:F$80,Step1_Features!N$4:N$80)</f>
        <v>18809254128.76775</v>
      </c>
      <c r="M6" s="75">
        <f>SUMPRODUCT(Step1_Features!F$4:F$80,Step1_Features!O$4:O$80)</f>
        <v>-12917932501.323332</v>
      </c>
      <c r="N6" s="75">
        <f>SUMPRODUCT(Step1_Features!F$4:F$80,Step1_Features!P$4:P$80)</f>
        <v>12917932501.32333</v>
      </c>
      <c r="O6" s="75">
        <f>SUMPRODUCT(Step1_Features!F$4:F$80,Step1_Features!Q$4:Q$80)</f>
        <v>-18809254128.76775</v>
      </c>
      <c r="P6" s="75">
        <f>SUMPRODUCT(Step1_Features!F$4:F$80,Step1_Features!R$4:R$80)</f>
        <v>64333891352.440437</v>
      </c>
    </row>
    <row r="7" spans="1:17" s="62" customFormat="1" ht="15" customHeight="1" x14ac:dyDescent="0.25">
      <c r="A7" s="73" t="s">
        <v>38</v>
      </c>
      <c r="B7" s="63">
        <f>SUMPRODUCT(Step1_Features!G$4:G$80,Step1_Features!D$4:D$80)</f>
        <v>142411.48884676251</v>
      </c>
      <c r="C7" s="63">
        <f>SUMPRODUCT(Step1_Features!G$4:G$80,Step1_Features!E$4:E$80)</f>
        <v>-10013124.789595528</v>
      </c>
      <c r="D7" s="63">
        <f>SUMPRODUCT(Step1_Features!G$4:G$80,Step1_Features!F$4:F$80)</f>
        <v>4112372.5225680848</v>
      </c>
      <c r="E7" s="74">
        <f>SUMPRODUCT(Step1_Features!G$4:G$80,Step1_Features!G$4:G$80)</f>
        <v>778129395.38952565</v>
      </c>
      <c r="F7" s="63">
        <f>SUMPRODUCT(Step1_Features!G$4:G$80,Step1_Features!H$4:H$80)</f>
        <v>-264001678.45402309</v>
      </c>
      <c r="G7" s="63">
        <f>SUMPRODUCT(Step1_Features!G$4:G$80,Step1_Features!I$4:I$80)</f>
        <v>212217109.93177155</v>
      </c>
      <c r="H7" s="63">
        <f>SUMPRODUCT(Step1_Features!G$4:G$80,Step1_Features!J$4:J$80)</f>
        <v>-64333891352.440445</v>
      </c>
      <c r="I7" s="63">
        <f>SUMPRODUCT(Step1_Features!G$4:G$80,Step1_Features!K$4:K$80)</f>
        <v>18809254128.76775</v>
      </c>
      <c r="J7" s="63">
        <f>SUMPRODUCT(Step1_Features!G$4:G$80,Step1_Features!L$4:L$80)</f>
        <v>-12917932501.323334</v>
      </c>
      <c r="K7" s="63">
        <f>SUMPRODUCT(Step1_Features!G$4:G$80,Step1_Features!M$4:M$80)</f>
        <v>12917932501.32333</v>
      </c>
      <c r="L7" s="63">
        <f>SUMPRODUCT(Step1_Features!G$4:G$80,Step1_Features!N$4:N$80)</f>
        <v>5546609247696.0527</v>
      </c>
      <c r="M7" s="63">
        <f>SUMPRODUCT(Step1_Features!G$4:G$80,Step1_Features!O$4:O$80)</f>
        <v>-1434838794621.1387</v>
      </c>
      <c r="N7" s="63">
        <f>SUMPRODUCT(Step1_Features!G$4:G$80,Step1_Features!P$4:P$80)</f>
        <v>875780423003.92078</v>
      </c>
      <c r="O7" s="63">
        <f>SUMPRODUCT(Step1_Features!G$4:G$80,Step1_Features!Q$4:Q$80)</f>
        <v>-744132557514.75061</v>
      </c>
      <c r="P7" s="63">
        <f>SUMPRODUCT(Step1_Features!G$4:G$80,Step1_Features!R$4:R$80)</f>
        <v>875780423003.92053</v>
      </c>
    </row>
    <row r="8" spans="1:17" s="62" customFormat="1" ht="15" customHeight="1" x14ac:dyDescent="0.25">
      <c r="A8" s="73" t="s">
        <v>39</v>
      </c>
      <c r="B8" s="75">
        <f>SUMPRODUCT(Step1_Features!H$4:H$80,Step1_Features!D$4:D$80)</f>
        <v>-75926.701994156349</v>
      </c>
      <c r="C8" s="75">
        <f>SUMPRODUCT(Step1_Features!H$4:H$80,Step1_Features!E$4:E$80)</f>
        <v>4112372.5225680848</v>
      </c>
      <c r="D8" s="75">
        <f>SUMPRODUCT(Step1_Features!H$4:H$80,Step1_Features!F$4:F$80)</f>
        <v>-4112372.5225680852</v>
      </c>
      <c r="E8" s="75">
        <f>SUMPRODUCT(Step1_Features!H$4:H$80,Step1_Features!G$4:G$80)</f>
        <v>-264001678.45402309</v>
      </c>
      <c r="F8" s="74">
        <f>SUMPRODUCT(Step1_Features!H$4:H$80,Step1_Features!H$4:H$80)</f>
        <v>212217109.93177155</v>
      </c>
      <c r="G8" s="75">
        <f>SUMPRODUCT(Step1_Features!H$4:H$80,Step1_Features!I$4:I$80)</f>
        <v>-264001678.45402315</v>
      </c>
      <c r="H8" s="75">
        <f>SUMPRODUCT(Step1_Features!H$4:H$80,Step1_Features!J$4:J$80)</f>
        <v>18809254128.767746</v>
      </c>
      <c r="I8" s="75">
        <f>SUMPRODUCT(Step1_Features!H$4:H$80,Step1_Features!K$4:K$80)</f>
        <v>-12917932501.323334</v>
      </c>
      <c r="J8" s="75">
        <f>SUMPRODUCT(Step1_Features!H$4:H$80,Step1_Features!L$4:L$80)</f>
        <v>12917932501.32333</v>
      </c>
      <c r="K8" s="75">
        <f>SUMPRODUCT(Step1_Features!H$4:H$80,Step1_Features!M$4:M$80)</f>
        <v>-18809254128.76775</v>
      </c>
      <c r="L8" s="75">
        <f>SUMPRODUCT(Step1_Features!H$4:H$80,Step1_Features!N$4:N$80)</f>
        <v>-1434838794621.1389</v>
      </c>
      <c r="M8" s="75">
        <f>SUMPRODUCT(Step1_Features!H$4:H$80,Step1_Features!O$4:O$80)</f>
        <v>875780423003.92065</v>
      </c>
      <c r="N8" s="75">
        <f>SUMPRODUCT(Step1_Features!H$4:H$80,Step1_Features!P$4:P$80)</f>
        <v>-744132557514.75073</v>
      </c>
      <c r="O8" s="75">
        <f>SUMPRODUCT(Step1_Features!H$4:H$80,Step1_Features!Q$4:Q$80)</f>
        <v>875780423003.92053</v>
      </c>
      <c r="P8" s="75">
        <f>SUMPRODUCT(Step1_Features!H$4:H$80,Step1_Features!R$4:R$80)</f>
        <v>-1434838794621.1389</v>
      </c>
    </row>
    <row r="9" spans="1:17" s="62" customFormat="1" ht="15" customHeight="1" x14ac:dyDescent="0.25">
      <c r="A9" s="73" t="s">
        <v>40</v>
      </c>
      <c r="B9" s="63">
        <f>SUMPRODUCT(Step1_Features!I$4:I$80,Step1_Features!D$4:D$80)</f>
        <v>142411.48884676248</v>
      </c>
      <c r="C9" s="63">
        <f>SUMPRODUCT(Step1_Features!I$4:I$80,Step1_Features!E$4:E$80)</f>
        <v>-4112372.5225680852</v>
      </c>
      <c r="D9" s="63">
        <f>SUMPRODUCT(Step1_Features!I$4:I$80,Step1_Features!F$4:F$80)</f>
        <v>10013124.789595528</v>
      </c>
      <c r="E9" s="63">
        <f>SUMPRODUCT(Step1_Features!I$4:I$80,Step1_Features!G$4:G$80)</f>
        <v>212217109.93177155</v>
      </c>
      <c r="F9" s="63">
        <f>SUMPRODUCT(Step1_Features!I$4:I$80,Step1_Features!H$4:H$80)</f>
        <v>-264001678.45402315</v>
      </c>
      <c r="G9" s="74">
        <f>SUMPRODUCT(Step1_Features!I$4:I$80,Step1_Features!I$4:I$80)</f>
        <v>778129395.38952565</v>
      </c>
      <c r="H9" s="63">
        <f>SUMPRODUCT(Step1_Features!I$4:I$80,Step1_Features!J$4:J$80)</f>
        <v>-12917932501.323332</v>
      </c>
      <c r="I9" s="63">
        <f>SUMPRODUCT(Step1_Features!I$4:I$80,Step1_Features!K$4:K$80)</f>
        <v>12917932501.32333</v>
      </c>
      <c r="J9" s="63">
        <f>SUMPRODUCT(Step1_Features!I$4:I$80,Step1_Features!L$4:L$80)</f>
        <v>-18809254128.76775</v>
      </c>
      <c r="K9" s="63">
        <f>SUMPRODUCT(Step1_Features!I$4:I$80,Step1_Features!M$4:M$80)</f>
        <v>64333891352.440437</v>
      </c>
      <c r="L9" s="63">
        <f>SUMPRODUCT(Step1_Features!I$4:I$80,Step1_Features!N$4:N$80)</f>
        <v>875780423003.92078</v>
      </c>
      <c r="M9" s="63">
        <f>SUMPRODUCT(Step1_Features!I$4:I$80,Step1_Features!O$4:O$80)</f>
        <v>-744132557514.75073</v>
      </c>
      <c r="N9" s="63">
        <f>SUMPRODUCT(Step1_Features!I$4:I$80,Step1_Features!P$4:P$80)</f>
        <v>875780423003.92053</v>
      </c>
      <c r="O9" s="63">
        <f>SUMPRODUCT(Step1_Features!I$4:I$80,Step1_Features!Q$4:Q$80)</f>
        <v>-1434838794621.1389</v>
      </c>
      <c r="P9" s="63">
        <f>SUMPRODUCT(Step1_Features!I$4:I$80,Step1_Features!R$4:R$80)</f>
        <v>5546609247696.0527</v>
      </c>
    </row>
    <row r="10" spans="1:17" s="62" customFormat="1" ht="15" customHeight="1" x14ac:dyDescent="0.25">
      <c r="A10" s="73" t="s">
        <v>41</v>
      </c>
      <c r="B10" s="75">
        <f>SUMPRODUCT(Step1_Features!J$4:J$80,Step1_Features!D$4:D$80)</f>
        <v>-10013124.789595528</v>
      </c>
      <c r="C10" s="75">
        <f>SUMPRODUCT(Step1_Features!J$4:J$80,Step1_Features!E$4:E$80)</f>
        <v>778129395.38952553</v>
      </c>
      <c r="D10" s="75">
        <f>SUMPRODUCT(Step1_Features!J$4:J$80,Step1_Features!F$4:F$80)</f>
        <v>-264001678.45402309</v>
      </c>
      <c r="E10" s="75">
        <f>SUMPRODUCT(Step1_Features!J$4:J$80,Step1_Features!G$4:G$80)</f>
        <v>-64333891352.440445</v>
      </c>
      <c r="F10" s="75">
        <f>SUMPRODUCT(Step1_Features!J$4:J$80,Step1_Features!H$4:H$80)</f>
        <v>18809254128.767746</v>
      </c>
      <c r="G10" s="75">
        <f>SUMPRODUCT(Step1_Features!J$4:J$80,Step1_Features!I$4:I$80)</f>
        <v>-12917932501.323332</v>
      </c>
      <c r="H10" s="74">
        <f>SUMPRODUCT(Step1_Features!J$4:J$80,Step1_Features!J$4:J$80)</f>
        <v>5546609247696.0527</v>
      </c>
      <c r="I10" s="75">
        <f>SUMPRODUCT(Step1_Features!J$4:J$80,Step1_Features!K$4:K$80)</f>
        <v>-1434838794621.1389</v>
      </c>
      <c r="J10" s="75">
        <f>SUMPRODUCT(Step1_Features!J$4:J$80,Step1_Features!L$4:L$80)</f>
        <v>875780423003.92065</v>
      </c>
      <c r="K10" s="75">
        <f>SUMPRODUCT(Step1_Features!J$4:J$80,Step1_Features!M$4:M$80)</f>
        <v>-744132557514.75061</v>
      </c>
      <c r="L10" s="75">
        <f>SUMPRODUCT(Step1_Features!J$4:J$80,Step1_Features!N$4:N$80)</f>
        <v>-492839742553172.63</v>
      </c>
      <c r="M10" s="75">
        <f>SUMPRODUCT(Step1_Features!J$4:J$80,Step1_Features!O$4:O$80)</f>
        <v>114832939480114.83</v>
      </c>
      <c r="N10" s="75">
        <f>SUMPRODUCT(Step1_Features!J$4:J$80,Step1_Features!P$4:P$80)</f>
        <v>-63854166014521</v>
      </c>
      <c r="O10" s="75">
        <f>SUMPRODUCT(Step1_Features!J$4:J$80,Step1_Features!Q$4:Q$80)</f>
        <v>47927264123413.719</v>
      </c>
      <c r="P10" s="75">
        <f>SUMPRODUCT(Step1_Features!J$4:J$80,Step1_Features!R$4:R$80)</f>
        <v>-47927264123413.727</v>
      </c>
    </row>
    <row r="11" spans="1:17" s="62" customFormat="1" ht="15" customHeight="1" x14ac:dyDescent="0.25">
      <c r="A11" s="73" t="s">
        <v>42</v>
      </c>
      <c r="B11" s="63">
        <f>SUMPRODUCT(Step1_Features!K$4:K$80,Step1_Features!D$4:D$80)</f>
        <v>4112372.5225680848</v>
      </c>
      <c r="C11" s="63">
        <f>SUMPRODUCT(Step1_Features!K$4:K$80,Step1_Features!E$4:E$80)</f>
        <v>-264001678.45402309</v>
      </c>
      <c r="D11" s="63">
        <f>SUMPRODUCT(Step1_Features!K$4:K$80,Step1_Features!F$4:F$80)</f>
        <v>212217109.93177158</v>
      </c>
      <c r="E11" s="63">
        <f>SUMPRODUCT(Step1_Features!K$4:K$80,Step1_Features!G$4:G$80)</f>
        <v>18809254128.76775</v>
      </c>
      <c r="F11" s="63">
        <f>SUMPRODUCT(Step1_Features!K$4:K$80,Step1_Features!H$4:H$80)</f>
        <v>-12917932501.323334</v>
      </c>
      <c r="G11" s="63">
        <f>SUMPRODUCT(Step1_Features!K$4:K$80,Step1_Features!I$4:I$80)</f>
        <v>12917932501.32333</v>
      </c>
      <c r="H11" s="63">
        <f>SUMPRODUCT(Step1_Features!K$4:K$80,Step1_Features!J$4:J$80)</f>
        <v>-1434838794621.1389</v>
      </c>
      <c r="I11" s="74">
        <f>SUMPRODUCT(Step1_Features!K$4:K$80,Step1_Features!K$4:K$80)</f>
        <v>875780423003.92078</v>
      </c>
      <c r="J11" s="63">
        <f>SUMPRODUCT(Step1_Features!K$4:K$80,Step1_Features!L$4:L$80)</f>
        <v>-744132557514.75073</v>
      </c>
      <c r="K11" s="63">
        <f>SUMPRODUCT(Step1_Features!K$4:K$80,Step1_Features!M$4:M$80)</f>
        <v>875780423003.92053</v>
      </c>
      <c r="L11" s="63">
        <f>SUMPRODUCT(Step1_Features!K$4:K$80,Step1_Features!N$4:N$80)</f>
        <v>114832939480114.84</v>
      </c>
      <c r="M11" s="63">
        <f>SUMPRODUCT(Step1_Features!K$4:K$80,Step1_Features!O$4:O$80)</f>
        <v>-63854166014521</v>
      </c>
      <c r="N11" s="63">
        <f>SUMPRODUCT(Step1_Features!K$4:K$80,Step1_Features!P$4:P$80)</f>
        <v>47927264123413.727</v>
      </c>
      <c r="O11" s="63">
        <f>SUMPRODUCT(Step1_Features!K$4:K$80,Step1_Features!Q$4:Q$80)</f>
        <v>-47927264123413.727</v>
      </c>
      <c r="P11" s="63">
        <f>SUMPRODUCT(Step1_Features!K$4:K$80,Step1_Features!R$4:R$80)</f>
        <v>63854166014521.016</v>
      </c>
    </row>
    <row r="12" spans="1:17" s="62" customFormat="1" ht="15" customHeight="1" x14ac:dyDescent="0.25">
      <c r="A12" s="73" t="s">
        <v>43</v>
      </c>
      <c r="B12" s="75">
        <f>SUMPRODUCT(Step1_Features!L$4:L$80,Step1_Features!D$4:D$80)</f>
        <v>-4112372.5225680852</v>
      </c>
      <c r="C12" s="75">
        <f>SUMPRODUCT(Step1_Features!L$4:L$80,Step1_Features!E$4:E$80)</f>
        <v>212217109.93177155</v>
      </c>
      <c r="D12" s="75">
        <f>SUMPRODUCT(Step1_Features!L$4:L$80,Step1_Features!F$4:F$80)</f>
        <v>-264001678.45402309</v>
      </c>
      <c r="E12" s="75">
        <f>SUMPRODUCT(Step1_Features!L$4:L$80,Step1_Features!G$4:G$80)</f>
        <v>-12917932501.323334</v>
      </c>
      <c r="F12" s="75">
        <f>SUMPRODUCT(Step1_Features!L$4:L$80,Step1_Features!H$4:H$80)</f>
        <v>12917932501.32333</v>
      </c>
      <c r="G12" s="75">
        <f>SUMPRODUCT(Step1_Features!L$4:L$80,Step1_Features!I$4:I$80)</f>
        <v>-18809254128.76775</v>
      </c>
      <c r="H12" s="75">
        <f>SUMPRODUCT(Step1_Features!L$4:L$80,Step1_Features!J$4:J$80)</f>
        <v>875780423003.92065</v>
      </c>
      <c r="I12" s="75">
        <f>SUMPRODUCT(Step1_Features!L$4:L$80,Step1_Features!K$4:K$80)</f>
        <v>-744132557514.75073</v>
      </c>
      <c r="J12" s="74">
        <f>SUMPRODUCT(Step1_Features!L$4:L$80,Step1_Features!L$4:L$80)</f>
        <v>875780423003.92065</v>
      </c>
      <c r="K12" s="75">
        <f>SUMPRODUCT(Step1_Features!L$4:L$80,Step1_Features!M$4:M$80)</f>
        <v>-1434838794621.1389</v>
      </c>
      <c r="L12" s="75">
        <f>SUMPRODUCT(Step1_Features!L$4:L$80,Step1_Features!N$4:N$80)</f>
        <v>-63854166014521.008</v>
      </c>
      <c r="M12" s="75">
        <f>SUMPRODUCT(Step1_Features!L$4:L$80,Step1_Features!O$4:O$80)</f>
        <v>47927264123413.719</v>
      </c>
      <c r="N12" s="75">
        <f>SUMPRODUCT(Step1_Features!L$4:L$80,Step1_Features!P$4:P$80)</f>
        <v>-47927264123413.734</v>
      </c>
      <c r="O12" s="75">
        <f>SUMPRODUCT(Step1_Features!L$4:L$80,Step1_Features!Q$4:Q$80)</f>
        <v>63854166014521.008</v>
      </c>
      <c r="P12" s="75">
        <f>SUMPRODUCT(Step1_Features!L$4:L$80,Step1_Features!R$4:R$80)</f>
        <v>-114832939480114.83</v>
      </c>
    </row>
    <row r="13" spans="1:17" s="62" customFormat="1" ht="15" customHeight="1" x14ac:dyDescent="0.25">
      <c r="A13" s="73" t="s">
        <v>44</v>
      </c>
      <c r="B13" s="63">
        <f>SUMPRODUCT(Step1_Features!M$4:M$80,Step1_Features!D$4:D$80)</f>
        <v>10013124.789595528</v>
      </c>
      <c r="C13" s="63">
        <f>SUMPRODUCT(Step1_Features!M$4:M$80,Step1_Features!E$4:E$80)</f>
        <v>-264001678.45402309</v>
      </c>
      <c r="D13" s="63">
        <f>SUMPRODUCT(Step1_Features!M$4:M$80,Step1_Features!F$4:F$80)</f>
        <v>778129395.38952553</v>
      </c>
      <c r="E13" s="63">
        <f>SUMPRODUCT(Step1_Features!M$4:M$80,Step1_Features!G$4:G$80)</f>
        <v>12917932501.32333</v>
      </c>
      <c r="F13" s="63">
        <f>SUMPRODUCT(Step1_Features!M$4:M$80,Step1_Features!H$4:H$80)</f>
        <v>-18809254128.76775</v>
      </c>
      <c r="G13" s="63">
        <f>SUMPRODUCT(Step1_Features!M$4:M$80,Step1_Features!I$4:I$80)</f>
        <v>64333891352.440437</v>
      </c>
      <c r="H13" s="63">
        <f>SUMPRODUCT(Step1_Features!M$4:M$80,Step1_Features!J$4:J$80)</f>
        <v>-744132557514.75061</v>
      </c>
      <c r="I13" s="63">
        <f>SUMPRODUCT(Step1_Features!M$4:M$80,Step1_Features!K$4:K$80)</f>
        <v>875780423003.92053</v>
      </c>
      <c r="J13" s="63">
        <f>SUMPRODUCT(Step1_Features!M$4:M$80,Step1_Features!L$4:L$80)</f>
        <v>-1434838794621.1389</v>
      </c>
      <c r="K13" s="74">
        <f>SUMPRODUCT(Step1_Features!M$4:M$80,Step1_Features!M$4:M$80)</f>
        <v>5546609247696.0527</v>
      </c>
      <c r="L13" s="63">
        <f>SUMPRODUCT(Step1_Features!M$4:M$80,Step1_Features!N$4:N$80)</f>
        <v>47927264123413.727</v>
      </c>
      <c r="M13" s="63">
        <f>SUMPRODUCT(Step1_Features!M$4:M$80,Step1_Features!O$4:O$80)</f>
        <v>-47927264123413.727</v>
      </c>
      <c r="N13" s="63">
        <f>SUMPRODUCT(Step1_Features!M$4:M$80,Step1_Features!P$4:P$80)</f>
        <v>63854166014521.016</v>
      </c>
      <c r="O13" s="63">
        <f>SUMPRODUCT(Step1_Features!M$4:M$80,Step1_Features!Q$4:Q$80)</f>
        <v>-114832939480114.81</v>
      </c>
      <c r="P13" s="63">
        <f>SUMPRODUCT(Step1_Features!M$4:M$80,Step1_Features!R$4:R$80)</f>
        <v>492839742553172.63</v>
      </c>
    </row>
    <row r="14" spans="1:17" s="62" customFormat="1" ht="15" customHeight="1" x14ac:dyDescent="0.25">
      <c r="A14" s="73" t="s">
        <v>45</v>
      </c>
      <c r="B14" s="75">
        <f>SUMPRODUCT(Step1_Features!N$4:N$80,Step1_Features!D$4:D$80)</f>
        <v>778129395.38952565</v>
      </c>
      <c r="C14" s="75">
        <f>SUMPRODUCT(Step1_Features!N$4:N$80,Step1_Features!E$4:E$80)</f>
        <v>-64333891352.440445</v>
      </c>
      <c r="D14" s="75">
        <f>SUMPRODUCT(Step1_Features!N$4:N$80,Step1_Features!F$4:F$80)</f>
        <v>18809254128.76775</v>
      </c>
      <c r="E14" s="75">
        <f>SUMPRODUCT(Step1_Features!N$4:N$80,Step1_Features!G$4:G$80)</f>
        <v>5546609247696.0527</v>
      </c>
      <c r="F14" s="75">
        <f>SUMPRODUCT(Step1_Features!N$4:N$80,Step1_Features!H$4:H$80)</f>
        <v>-1434838794621.1389</v>
      </c>
      <c r="G14" s="75">
        <f>SUMPRODUCT(Step1_Features!N$4:N$80,Step1_Features!I$4:I$80)</f>
        <v>875780423003.92078</v>
      </c>
      <c r="H14" s="75">
        <f>SUMPRODUCT(Step1_Features!N$4:N$80,Step1_Features!J$4:J$80)</f>
        <v>-492839742553172.63</v>
      </c>
      <c r="I14" s="75">
        <f>SUMPRODUCT(Step1_Features!N$4:N$80,Step1_Features!K$4:K$80)</f>
        <v>114832939480114.84</v>
      </c>
      <c r="J14" s="75">
        <f>SUMPRODUCT(Step1_Features!N$4:N$80,Step1_Features!L$4:L$80)</f>
        <v>-63854166014521.008</v>
      </c>
      <c r="K14" s="75">
        <f>SUMPRODUCT(Step1_Features!N$4:N$80,Step1_Features!M$4:M$80)</f>
        <v>47927264123413.727</v>
      </c>
      <c r="L14" s="74">
        <f>SUMPRODUCT(Step1_Features!N$4:N$80,Step1_Features!N$4:N$80)</f>
        <v>4.4793995171586984E+16</v>
      </c>
      <c r="M14" s="75">
        <f>SUMPRODUCT(Step1_Features!N$4:N$80,Step1_Features!O$4:O$80)</f>
        <v>-9522600532761366</v>
      </c>
      <c r="N14" s="75">
        <f>SUMPRODUCT(Step1_Features!N$4:N$80,Step1_Features!P$4:P$80)</f>
        <v>4904452155323768</v>
      </c>
      <c r="O14" s="75">
        <f>SUMPRODUCT(Step1_Features!N$4:N$80,Step1_Features!Q$4:Q$80)</f>
        <v>-3333769457396562.5</v>
      </c>
      <c r="P14" s="75">
        <f>SUMPRODUCT(Step1_Features!N$4:N$80,Step1_Features!R$4:R$80)</f>
        <v>2942671303362578.5</v>
      </c>
    </row>
    <row r="15" spans="1:17" s="62" customFormat="1" ht="15" customHeight="1" x14ac:dyDescent="0.25">
      <c r="A15" s="73" t="s">
        <v>46</v>
      </c>
      <c r="B15" s="63">
        <f>SUMPRODUCT(Step1_Features!O$4:O$80,Step1_Features!D$4:D$80)</f>
        <v>-264001678.45402309</v>
      </c>
      <c r="C15" s="63">
        <f>SUMPRODUCT(Step1_Features!O$4:O$80,Step1_Features!E$4:E$80)</f>
        <v>18809254128.767746</v>
      </c>
      <c r="D15" s="63">
        <f>SUMPRODUCT(Step1_Features!O$4:O$80,Step1_Features!F$4:F$80)</f>
        <v>-12917932501.323332</v>
      </c>
      <c r="E15" s="63">
        <f>SUMPRODUCT(Step1_Features!O$4:O$80,Step1_Features!G$4:G$80)</f>
        <v>-1434838794621.1387</v>
      </c>
      <c r="F15" s="63">
        <f>SUMPRODUCT(Step1_Features!O$4:O$80,Step1_Features!H$4:H$80)</f>
        <v>875780423003.92065</v>
      </c>
      <c r="G15" s="63">
        <f>SUMPRODUCT(Step1_Features!O$4:O$80,Step1_Features!I$4:I$80)</f>
        <v>-744132557514.75073</v>
      </c>
      <c r="H15" s="63">
        <f>SUMPRODUCT(Step1_Features!O$4:O$80,Step1_Features!J$4:J$80)</f>
        <v>114832939480114.83</v>
      </c>
      <c r="I15" s="63">
        <f>SUMPRODUCT(Step1_Features!O$4:O$80,Step1_Features!K$4:K$80)</f>
        <v>-63854166014521</v>
      </c>
      <c r="J15" s="63">
        <f>SUMPRODUCT(Step1_Features!O$4:O$80,Step1_Features!L$4:L$80)</f>
        <v>47927264123413.719</v>
      </c>
      <c r="K15" s="63">
        <f>SUMPRODUCT(Step1_Features!O$4:O$80,Step1_Features!M$4:M$80)</f>
        <v>-47927264123413.727</v>
      </c>
      <c r="L15" s="63">
        <f>SUMPRODUCT(Step1_Features!O$4:O$80,Step1_Features!N$4:N$80)</f>
        <v>-9522600532761366</v>
      </c>
      <c r="M15" s="74">
        <f>SUMPRODUCT(Step1_Features!O$4:O$80,Step1_Features!O$4:O$80)</f>
        <v>4904452155323768</v>
      </c>
      <c r="N15" s="63">
        <f>SUMPRODUCT(Step1_Features!O$4:O$80,Step1_Features!P$4:P$80)</f>
        <v>-3333769457396562.5</v>
      </c>
      <c r="O15" s="63">
        <f>SUMPRODUCT(Step1_Features!O$4:O$80,Step1_Features!Q$4:Q$80)</f>
        <v>2942671303362578</v>
      </c>
      <c r="P15" s="63">
        <f>SUMPRODUCT(Step1_Features!O$4:O$80,Step1_Features!R$4:R$80)</f>
        <v>-3333769457396562</v>
      </c>
    </row>
    <row r="16" spans="1:17" s="62" customFormat="1" ht="15" customHeight="1" x14ac:dyDescent="0.25">
      <c r="A16" s="73" t="s">
        <v>47</v>
      </c>
      <c r="B16" s="75">
        <f>SUMPRODUCT(Step1_Features!P$4:P$80,Step1_Features!D$4:D$80)</f>
        <v>212217109.93177155</v>
      </c>
      <c r="C16" s="75">
        <f>SUMPRODUCT(Step1_Features!P$4:P$80,Step1_Features!E$4:E$80)</f>
        <v>-12917932501.323334</v>
      </c>
      <c r="D16" s="75">
        <f>SUMPRODUCT(Step1_Features!P$4:P$80,Step1_Features!F$4:F$80)</f>
        <v>12917932501.32333</v>
      </c>
      <c r="E16" s="75">
        <f>SUMPRODUCT(Step1_Features!P$4:P$80,Step1_Features!G$4:G$80)</f>
        <v>875780423003.92078</v>
      </c>
      <c r="F16" s="75">
        <f>SUMPRODUCT(Step1_Features!P$4:P$80,Step1_Features!H$4:H$80)</f>
        <v>-744132557514.75073</v>
      </c>
      <c r="G16" s="75">
        <f>SUMPRODUCT(Step1_Features!P$4:P$80,Step1_Features!I$4:I$80)</f>
        <v>875780423003.92053</v>
      </c>
      <c r="H16" s="75">
        <f>SUMPRODUCT(Step1_Features!P$4:P$80,Step1_Features!J$4:J$80)</f>
        <v>-63854166014521</v>
      </c>
      <c r="I16" s="75">
        <f>SUMPRODUCT(Step1_Features!P$4:P$80,Step1_Features!K$4:K$80)</f>
        <v>47927264123413.727</v>
      </c>
      <c r="J16" s="75">
        <f>SUMPRODUCT(Step1_Features!P$4:P$80,Step1_Features!L$4:L$80)</f>
        <v>-47927264123413.734</v>
      </c>
      <c r="K16" s="75">
        <f>SUMPRODUCT(Step1_Features!P$4:P$80,Step1_Features!M$4:M$80)</f>
        <v>63854166014521.016</v>
      </c>
      <c r="L16" s="75">
        <f>SUMPRODUCT(Step1_Features!P$4:P$80,Step1_Features!N$4:N$80)</f>
        <v>4904452155323768</v>
      </c>
      <c r="M16" s="75">
        <f>SUMPRODUCT(Step1_Features!P$4:P$80,Step1_Features!O$4:O$80)</f>
        <v>-3333769457396562.5</v>
      </c>
      <c r="N16" s="74">
        <f>SUMPRODUCT(Step1_Features!P$4:P$80,Step1_Features!P$4:P$80)</f>
        <v>2942671303362578</v>
      </c>
      <c r="O16" s="75">
        <f>SUMPRODUCT(Step1_Features!P$4:P$80,Step1_Features!Q$4:Q$80)</f>
        <v>-3333769457396562</v>
      </c>
      <c r="P16" s="75">
        <f>SUMPRODUCT(Step1_Features!P$4:P$80,Step1_Features!R$4:R$80)</f>
        <v>4904452155323768</v>
      </c>
    </row>
    <row r="17" spans="1:17" s="62" customFormat="1" ht="15" customHeight="1" x14ac:dyDescent="0.25">
      <c r="A17" s="73" t="s">
        <v>48</v>
      </c>
      <c r="B17" s="63">
        <f>SUMPRODUCT(Step1_Features!Q$4:Q$80,Step1_Features!D$4:D$80)</f>
        <v>-264001678.45402309</v>
      </c>
      <c r="C17" s="63">
        <f>SUMPRODUCT(Step1_Features!Q$4:Q$80,Step1_Features!E$4:E$80)</f>
        <v>12917932501.32333</v>
      </c>
      <c r="D17" s="63">
        <f>SUMPRODUCT(Step1_Features!Q$4:Q$80,Step1_Features!F$4:F$80)</f>
        <v>-18809254128.76775</v>
      </c>
      <c r="E17" s="63">
        <f>SUMPRODUCT(Step1_Features!Q$4:Q$80,Step1_Features!G$4:G$80)</f>
        <v>-744132557514.75061</v>
      </c>
      <c r="F17" s="63">
        <f>SUMPRODUCT(Step1_Features!Q$4:Q$80,Step1_Features!H$4:H$80)</f>
        <v>875780423003.92053</v>
      </c>
      <c r="G17" s="63">
        <f>SUMPRODUCT(Step1_Features!Q$4:Q$80,Step1_Features!I$4:I$80)</f>
        <v>-1434838794621.1389</v>
      </c>
      <c r="H17" s="63">
        <f>SUMPRODUCT(Step1_Features!Q$4:Q$80,Step1_Features!J$4:J$80)</f>
        <v>47927264123413.719</v>
      </c>
      <c r="I17" s="63">
        <f>SUMPRODUCT(Step1_Features!Q$4:Q$80,Step1_Features!K$4:K$80)</f>
        <v>-47927264123413.727</v>
      </c>
      <c r="J17" s="63">
        <f>SUMPRODUCT(Step1_Features!Q$4:Q$80,Step1_Features!L$4:L$80)</f>
        <v>63854166014521.008</v>
      </c>
      <c r="K17" s="63">
        <f>SUMPRODUCT(Step1_Features!Q$4:Q$80,Step1_Features!M$4:M$80)</f>
        <v>-114832939480114.81</v>
      </c>
      <c r="L17" s="63">
        <f>SUMPRODUCT(Step1_Features!Q$4:Q$80,Step1_Features!N$4:N$80)</f>
        <v>-3333769457396562.5</v>
      </c>
      <c r="M17" s="63">
        <f>SUMPRODUCT(Step1_Features!Q$4:Q$80,Step1_Features!O$4:O$80)</f>
        <v>2942671303362578</v>
      </c>
      <c r="N17" s="63">
        <f>SUMPRODUCT(Step1_Features!Q$4:Q$80,Step1_Features!P$4:P$80)</f>
        <v>-3333769457396562</v>
      </c>
      <c r="O17" s="74">
        <f>SUMPRODUCT(Step1_Features!Q$4:Q$80,Step1_Features!Q$4:Q$80)</f>
        <v>4904452155323768</v>
      </c>
      <c r="P17" s="63">
        <f>SUMPRODUCT(Step1_Features!Q$4:Q$80,Step1_Features!R$4:R$80)</f>
        <v>-9522600532761366</v>
      </c>
    </row>
    <row r="18" spans="1:17" s="62" customFormat="1" ht="15" customHeight="1" x14ac:dyDescent="0.25">
      <c r="A18" s="73" t="s">
        <v>49</v>
      </c>
      <c r="B18" s="75">
        <f>SUMPRODUCT(Step1_Features!R$4:R$80,Step1_Features!D$4:D$80)</f>
        <v>778129395.38952565</v>
      </c>
      <c r="C18" s="75">
        <f>SUMPRODUCT(Step1_Features!R$4:R$80,Step1_Features!E$4:E$80)</f>
        <v>-18809254128.76775</v>
      </c>
      <c r="D18" s="75">
        <f>SUMPRODUCT(Step1_Features!R$4:R$80,Step1_Features!F$4:F$80)</f>
        <v>64333891352.440437</v>
      </c>
      <c r="E18" s="75">
        <f>SUMPRODUCT(Step1_Features!R$4:R$80,Step1_Features!G$4:G$80)</f>
        <v>875780423003.92053</v>
      </c>
      <c r="F18" s="75">
        <f>SUMPRODUCT(Step1_Features!R$4:R$80,Step1_Features!H$4:H$80)</f>
        <v>-1434838794621.1389</v>
      </c>
      <c r="G18" s="75">
        <f>SUMPRODUCT(Step1_Features!R$4:R$80,Step1_Features!I$4:I$80)</f>
        <v>5546609247696.0527</v>
      </c>
      <c r="H18" s="75">
        <f>SUMPRODUCT(Step1_Features!R$4:R$80,Step1_Features!J$4:J$80)</f>
        <v>-47927264123413.727</v>
      </c>
      <c r="I18" s="75">
        <f>SUMPRODUCT(Step1_Features!R$4:R$80,Step1_Features!K$4:K$80)</f>
        <v>63854166014521.016</v>
      </c>
      <c r="J18" s="75">
        <f>SUMPRODUCT(Step1_Features!R$4:R$80,Step1_Features!L$4:L$80)</f>
        <v>-114832939480114.83</v>
      </c>
      <c r="K18" s="75">
        <f>SUMPRODUCT(Step1_Features!R$4:R$80,Step1_Features!M$4:M$80)</f>
        <v>492839742553172.63</v>
      </c>
      <c r="L18" s="75">
        <f>SUMPRODUCT(Step1_Features!R$4:R$80,Step1_Features!N$4:N$80)</f>
        <v>2942671303362578.5</v>
      </c>
      <c r="M18" s="75">
        <f>SUMPRODUCT(Step1_Features!R$4:R$80,Step1_Features!O$4:O$80)</f>
        <v>-3333769457396562</v>
      </c>
      <c r="N18" s="75">
        <f>SUMPRODUCT(Step1_Features!R$4:R$80,Step1_Features!P$4:P$80)</f>
        <v>4904452155323768</v>
      </c>
      <c r="O18" s="75">
        <f>SUMPRODUCT(Step1_Features!R$4:R$80,Step1_Features!Q$4:Q$80)</f>
        <v>-9522600532761366</v>
      </c>
      <c r="P18" s="74">
        <f>SUMPRODUCT(Step1_Features!R$4:R$80,Step1_Features!R$4:R$80)</f>
        <v>4.4793995171586992E+16</v>
      </c>
    </row>
    <row r="20" spans="1:17" ht="7.5" customHeight="1" x14ac:dyDescent="0.25"/>
    <row r="21" spans="1:17" ht="18" customHeight="1" x14ac:dyDescent="0.25">
      <c r="A21" s="1" t="s">
        <v>149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39.950000000000003" customHeight="1" x14ac:dyDescent="0.25">
      <c r="A22" s="46" t="s">
        <v>53</v>
      </c>
      <c r="B22" s="20" t="s">
        <v>150</v>
      </c>
      <c r="C22" s="76" t="s">
        <v>56</v>
      </c>
      <c r="D22" s="77"/>
    </row>
    <row r="23" spans="1:17" ht="24.95" customHeight="1" x14ac:dyDescent="0.25">
      <c r="A23" s="47" t="s">
        <v>35</v>
      </c>
      <c r="B23" s="35">
        <f>SUMPRODUCT(Step1_Features!D$4:D$80,Raw_Data!E$3:E$79)</f>
        <v>37758.122079999994</v>
      </c>
      <c r="C23" s="78" t="s">
        <v>151</v>
      </c>
      <c r="D23" s="79"/>
    </row>
    <row r="24" spans="1:17" ht="24.95" customHeight="1" x14ac:dyDescent="0.25">
      <c r="A24" s="47" t="s">
        <v>36</v>
      </c>
      <c r="B24" s="25">
        <f>SUMPRODUCT(Step1_Features!E$4:E$80,Raw_Data!E$3:E$79)</f>
        <v>-1196993.205414945</v>
      </c>
      <c r="C24" s="68" t="s">
        <v>152</v>
      </c>
      <c r="D24" s="69"/>
    </row>
    <row r="25" spans="1:17" ht="24.95" customHeight="1" x14ac:dyDescent="0.25">
      <c r="A25" s="47" t="s">
        <v>37</v>
      </c>
      <c r="B25" s="35">
        <f>SUMPRODUCT(Step1_Features!F$4:F$80,Raw_Data!E$3:E$79)</f>
        <v>1165218.8532561597</v>
      </c>
      <c r="C25" s="78" t="s">
        <v>153</v>
      </c>
      <c r="D25" s="79"/>
    </row>
    <row r="26" spans="1:17" ht="24.95" customHeight="1" x14ac:dyDescent="0.25">
      <c r="A26" s="47" t="s">
        <v>38</v>
      </c>
      <c r="B26" s="25">
        <f>SUMPRODUCT(Step1_Features!G$4:G$80,Raw_Data!E$3:E$79)</f>
        <v>70216169.474531844</v>
      </c>
      <c r="C26" s="68" t="s">
        <v>154</v>
      </c>
      <c r="D26" s="69"/>
    </row>
    <row r="27" spans="1:17" ht="24.95" customHeight="1" x14ac:dyDescent="0.25">
      <c r="A27" s="47" t="s">
        <v>39</v>
      </c>
      <c r="B27" s="35">
        <f>SUMPRODUCT(Step1_Features!H$4:H$80,Raw_Data!E$3:E$79)</f>
        <v>-36939841.037025303</v>
      </c>
      <c r="C27" s="78" t="s">
        <v>155</v>
      </c>
      <c r="D27" s="79"/>
    </row>
    <row r="28" spans="1:17" ht="24.95" customHeight="1" x14ac:dyDescent="0.25">
      <c r="A28" s="47" t="s">
        <v>40</v>
      </c>
      <c r="B28" s="25">
        <f>SUMPRODUCT(Step1_Features!I$4:I$80,Raw_Data!E$3:E$79)</f>
        <v>67365432.78896074</v>
      </c>
      <c r="C28" s="68" t="s">
        <v>156</v>
      </c>
      <c r="D28" s="69"/>
    </row>
    <row r="29" spans="1:17" ht="24.95" customHeight="1" x14ac:dyDescent="0.25">
      <c r="A29" s="47" t="s">
        <v>41</v>
      </c>
      <c r="B29" s="35">
        <f>SUMPRODUCT(Step1_Features!J$4:J$80,Raw_Data!E$3:E$79)</f>
        <v>-4940861257.0710707</v>
      </c>
      <c r="C29" s="78" t="s">
        <v>157</v>
      </c>
      <c r="D29" s="79"/>
    </row>
    <row r="30" spans="1:17" ht="24.95" customHeight="1" x14ac:dyDescent="0.25">
      <c r="A30" s="47" t="s">
        <v>42</v>
      </c>
      <c r="B30" s="25">
        <f>SUMPRODUCT(Step1_Features!K$4:K$80,Raw_Data!E$3:E$79)</f>
        <v>2007234879.7776477</v>
      </c>
      <c r="C30" s="68" t="s">
        <v>158</v>
      </c>
      <c r="D30" s="69"/>
    </row>
    <row r="31" spans="1:17" ht="24.95" customHeight="1" x14ac:dyDescent="0.25">
      <c r="A31" s="47" t="s">
        <v>43</v>
      </c>
      <c r="B31" s="35">
        <f>SUMPRODUCT(Step1_Features!L$4:L$80,Raw_Data!E$3:E$79)</f>
        <v>-1985559070.8340049</v>
      </c>
      <c r="C31" s="78" t="s">
        <v>159</v>
      </c>
      <c r="D31" s="79"/>
    </row>
    <row r="32" spans="1:17" ht="24.95" customHeight="1" x14ac:dyDescent="0.25">
      <c r="A32" s="47" t="s">
        <v>44</v>
      </c>
      <c r="B32" s="25">
        <f>SUMPRODUCT(Step1_Features!M$4:M$80,Raw_Data!E$3:E$79)</f>
        <v>4688304322.6256638</v>
      </c>
      <c r="C32" s="68" t="s">
        <v>160</v>
      </c>
      <c r="D32" s="69"/>
    </row>
    <row r="33" spans="1:4" ht="24.95" customHeight="1" x14ac:dyDescent="0.25">
      <c r="A33" s="47" t="s">
        <v>45</v>
      </c>
      <c r="B33" s="35">
        <f>SUMPRODUCT(Step1_Features!N$4:N$80,Raw_Data!E$3:E$79)</f>
        <v>384170803550.41278</v>
      </c>
      <c r="C33" s="78" t="s">
        <v>161</v>
      </c>
      <c r="D33" s="79"/>
    </row>
    <row r="34" spans="1:4" ht="24.95" customHeight="1" x14ac:dyDescent="0.25">
      <c r="A34" s="47" t="s">
        <v>46</v>
      </c>
      <c r="B34" s="25">
        <f>SUMPRODUCT(Step1_Features!O$4:O$80,Raw_Data!E$3:E$79)</f>
        <v>-129162620815.91441</v>
      </c>
      <c r="C34" s="68" t="s">
        <v>162</v>
      </c>
      <c r="D34" s="69"/>
    </row>
    <row r="35" spans="1:4" ht="24.95" customHeight="1" x14ac:dyDescent="0.25">
      <c r="A35" s="47" t="s">
        <v>47</v>
      </c>
      <c r="B35" s="35">
        <f>SUMPRODUCT(Step1_Features!P$4:P$80,Raw_Data!E$3:E$79)</f>
        <v>102947925626.9426</v>
      </c>
      <c r="C35" s="78" t="s">
        <v>163</v>
      </c>
      <c r="D35" s="79"/>
    </row>
    <row r="36" spans="1:4" ht="24.95" customHeight="1" x14ac:dyDescent="0.25">
      <c r="A36" s="47" t="s">
        <v>48</v>
      </c>
      <c r="B36" s="25">
        <f>SUMPRODUCT(Step1_Features!Q$4:Q$80,Raw_Data!E$3:E$79)</f>
        <v>-126674674564.82202</v>
      </c>
      <c r="C36" s="68" t="s">
        <v>164</v>
      </c>
      <c r="D36" s="69"/>
    </row>
    <row r="37" spans="1:4" ht="24.95" customHeight="1" x14ac:dyDescent="0.25">
      <c r="A37" s="47" t="s">
        <v>49</v>
      </c>
      <c r="B37" s="35">
        <f>SUMPRODUCT(Step1_Features!R$4:R$80,Raw_Data!E$3:E$79)</f>
        <v>361431331495.5675</v>
      </c>
      <c r="C37" s="78" t="s">
        <v>165</v>
      </c>
      <c r="D37" s="79"/>
    </row>
  </sheetData>
  <mergeCells count="19">
    <mergeCell ref="C34:D34"/>
    <mergeCell ref="C35:D35"/>
    <mergeCell ref="C36:D36"/>
    <mergeCell ref="C37:D37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A1:Q1"/>
    <mergeCell ref="B2:P2"/>
    <mergeCell ref="A21:Q21"/>
    <mergeCell ref="C22:D22"/>
    <mergeCell ref="C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zoomScaleNormal="100" workbookViewId="0">
      <selection activeCell="G35" sqref="G35"/>
    </sheetView>
  </sheetViews>
  <sheetFormatPr defaultColWidth="8.7109375" defaultRowHeight="15" x14ac:dyDescent="0.25"/>
  <cols>
    <col min="1" max="1" width="4" customWidth="1"/>
    <col min="2" max="2" width="14" customWidth="1"/>
    <col min="3" max="3" width="18" customWidth="1"/>
    <col min="4" max="4" width="20" customWidth="1"/>
    <col min="5" max="5" width="38" customWidth="1"/>
    <col min="6" max="6" width="20" customWidth="1"/>
    <col min="7" max="7" width="18" customWidth="1"/>
  </cols>
  <sheetData>
    <row r="1" spans="1:7" ht="18" customHeight="1" x14ac:dyDescent="0.25">
      <c r="A1" s="1" t="s">
        <v>166</v>
      </c>
      <c r="B1" s="1"/>
      <c r="C1" s="1"/>
      <c r="D1" s="1"/>
      <c r="E1" s="1"/>
      <c r="F1" s="1"/>
      <c r="G1" s="1"/>
    </row>
    <row r="2" spans="1:7" ht="15.75" customHeight="1" x14ac:dyDescent="0.25">
      <c r="A2" s="3" t="s">
        <v>73</v>
      </c>
      <c r="B2" s="3"/>
      <c r="C2" s="3"/>
      <c r="D2" s="3"/>
      <c r="E2" s="3"/>
      <c r="F2" s="3"/>
      <c r="G2" s="3"/>
    </row>
    <row r="3" spans="1:7" ht="30" customHeight="1" x14ac:dyDescent="0.25">
      <c r="A3" s="20" t="s">
        <v>74</v>
      </c>
      <c r="B3" s="20" t="s">
        <v>53</v>
      </c>
      <c r="C3" s="20" t="s">
        <v>75</v>
      </c>
      <c r="D3" s="20" t="s">
        <v>76</v>
      </c>
      <c r="E3" s="20" t="s">
        <v>77</v>
      </c>
      <c r="F3" s="20" t="s">
        <v>78</v>
      </c>
      <c r="G3" s="20" t="s">
        <v>79</v>
      </c>
    </row>
    <row r="4" spans="1:7" ht="15" customHeight="1" x14ac:dyDescent="0.25">
      <c r="A4" s="49">
        <v>0</v>
      </c>
      <c r="B4" s="47" t="s">
        <v>35</v>
      </c>
      <c r="C4" s="50" t="s">
        <v>80</v>
      </c>
      <c r="D4" s="51">
        <f>INDEX(MMULT(MINVERSE(Step2_Lq_XtX!$B$4:$P$18),Step2_Lq_XtX!$B$23:$B$37),1,1)</f>
        <v>499.06586330792697</v>
      </c>
      <c r="E4" s="48" t="s">
        <v>81</v>
      </c>
      <c r="F4" s="80">
        <f>1</f>
        <v>1</v>
      </c>
      <c r="G4" s="52">
        <f t="shared" ref="G4:G18" si="0">D4*F4</f>
        <v>499.06586330792697</v>
      </c>
    </row>
    <row r="5" spans="1:7" ht="15" customHeight="1" x14ac:dyDescent="0.25">
      <c r="A5" s="16">
        <v>1</v>
      </c>
      <c r="B5" s="47" t="s">
        <v>36</v>
      </c>
      <c r="C5" s="30" t="s">
        <v>82</v>
      </c>
      <c r="D5" s="31">
        <f>INDEX(MMULT(MINVERSE(Step2_Lq_XtX!$B$4:$P$18),Step2_Lq_XtX!$B$23:$B$37),2,1)</f>
        <v>-0.2916383121535091</v>
      </c>
      <c r="E5" s="10" t="s">
        <v>83</v>
      </c>
      <c r="F5" s="72">
        <f>-30</f>
        <v>-30</v>
      </c>
      <c r="G5" s="17">
        <f t="shared" si="0"/>
        <v>8.7491493646052731</v>
      </c>
    </row>
    <row r="6" spans="1:7" ht="15" customHeight="1" x14ac:dyDescent="0.25">
      <c r="A6" s="49">
        <v>2</v>
      </c>
      <c r="B6" s="47" t="s">
        <v>37</v>
      </c>
      <c r="C6" s="50" t="s">
        <v>84</v>
      </c>
      <c r="D6" s="51">
        <f>INDEX(MMULT(MINVERSE(Step2_Lq_XtX!$B$4:$P$18),Step2_Lq_XtX!$B$23:$B$37),3,1)</f>
        <v>-4.6911513264149107E-2</v>
      </c>
      <c r="E6" s="48" t="s">
        <v>85</v>
      </c>
      <c r="F6" s="80">
        <f>20</f>
        <v>20</v>
      </c>
      <c r="G6" s="52">
        <f t="shared" si="0"/>
        <v>-0.93823026528298215</v>
      </c>
    </row>
    <row r="7" spans="1:7" ht="15" customHeight="1" x14ac:dyDescent="0.25">
      <c r="A7" s="16">
        <v>3</v>
      </c>
      <c r="B7" s="47" t="s">
        <v>38</v>
      </c>
      <c r="C7" s="30" t="s">
        <v>86</v>
      </c>
      <c r="D7" s="31">
        <f>INDEX(MMULT(MINVERSE(Step2_Lq_XtX!$B$4:$P$18),Step2_Lq_XtX!$B$23:$B$37),4,1)</f>
        <v>-8.6442439455751696E-3</v>
      </c>
      <c r="E7" s="10" t="s">
        <v>87</v>
      </c>
      <c r="F7" s="72">
        <f>(-30)^2</f>
        <v>900</v>
      </c>
      <c r="G7" s="17">
        <f t="shared" si="0"/>
        <v>-7.7798195510176527</v>
      </c>
    </row>
    <row r="8" spans="1:7" ht="15" customHeight="1" x14ac:dyDescent="0.25">
      <c r="A8" s="49">
        <v>4</v>
      </c>
      <c r="B8" s="47" t="s">
        <v>39</v>
      </c>
      <c r="C8" s="50" t="s">
        <v>88</v>
      </c>
      <c r="D8" s="51">
        <f>INDEX(MMULT(MINVERSE(Step2_Lq_XtX!$B$4:$P$18),Step2_Lq_XtX!$B$23:$B$37),5,1)</f>
        <v>1.3410687026826906E-4</v>
      </c>
      <c r="E8" s="48" t="s">
        <v>89</v>
      </c>
      <c r="F8" s="80">
        <f>(-30)*20</f>
        <v>-600</v>
      </c>
      <c r="G8" s="52">
        <f t="shared" si="0"/>
        <v>-8.0464122160961438E-2</v>
      </c>
    </row>
    <row r="9" spans="1:7" ht="15" customHeight="1" x14ac:dyDescent="0.25">
      <c r="A9" s="16">
        <v>5</v>
      </c>
      <c r="B9" s="47" t="s">
        <v>40</v>
      </c>
      <c r="C9" s="30" t="s">
        <v>90</v>
      </c>
      <c r="D9" s="31">
        <f>INDEX(MMULT(MINVERSE(Step2_Lq_XtX!$B$4:$P$18),Step2_Lq_XtX!$B$23:$B$37),6,1)</f>
        <v>-1.2598747341257877E-2</v>
      </c>
      <c r="E9" s="10" t="s">
        <v>91</v>
      </c>
      <c r="F9" s="72">
        <f>20^2</f>
        <v>400</v>
      </c>
      <c r="G9" s="17">
        <f t="shared" si="0"/>
        <v>-5.0394989365031506</v>
      </c>
    </row>
    <row r="10" spans="1:7" ht="15" customHeight="1" x14ac:dyDescent="0.25">
      <c r="A10" s="49">
        <v>6</v>
      </c>
      <c r="B10" s="47" t="s">
        <v>41</v>
      </c>
      <c r="C10" s="50" t="s">
        <v>92</v>
      </c>
      <c r="D10" s="51">
        <f>INDEX(MMULT(MINVERSE(Step2_Lq_XtX!$B$4:$P$18),Step2_Lq_XtX!$B$23:$B$37),7,1)</f>
        <v>-7.9899283758178008E-5</v>
      </c>
      <c r="E10" s="48" t="s">
        <v>93</v>
      </c>
      <c r="F10" s="80">
        <f>(-30)^3</f>
        <v>-27000</v>
      </c>
      <c r="G10" s="52">
        <f t="shared" si="0"/>
        <v>2.1572806614708062</v>
      </c>
    </row>
    <row r="11" spans="1:7" ht="15" customHeight="1" x14ac:dyDescent="0.25">
      <c r="A11" s="16">
        <v>7</v>
      </c>
      <c r="B11" s="47" t="s">
        <v>42</v>
      </c>
      <c r="C11" s="30" t="s">
        <v>94</v>
      </c>
      <c r="D11" s="31">
        <f>INDEX(MMULT(MINVERSE(Step2_Lq_XtX!$B$4:$P$18),Step2_Lq_XtX!$B$23:$B$37),8,1)</f>
        <v>2.1853964349283217E-6</v>
      </c>
      <c r="E11" s="10" t="s">
        <v>95</v>
      </c>
      <c r="F11" s="72">
        <f>(-30)^2*20</f>
        <v>18000</v>
      </c>
      <c r="G11" s="17">
        <f t="shared" si="0"/>
        <v>3.9337135828709791E-2</v>
      </c>
    </row>
    <row r="12" spans="1:7" ht="15" customHeight="1" x14ac:dyDescent="0.25">
      <c r="A12" s="49">
        <v>8</v>
      </c>
      <c r="B12" s="47" t="s">
        <v>43</v>
      </c>
      <c r="C12" s="50" t="s">
        <v>96</v>
      </c>
      <c r="D12" s="51">
        <f>INDEX(MMULT(MINVERSE(Step2_Lq_XtX!$B$4:$P$18),Step2_Lq_XtX!$B$23:$B$37),9,1)</f>
        <v>-1.4219602067333525E-4</v>
      </c>
      <c r="E12" s="48" t="s">
        <v>97</v>
      </c>
      <c r="F12" s="80">
        <f>(-30)*20^2</f>
        <v>-12000</v>
      </c>
      <c r="G12" s="52">
        <f t="shared" si="0"/>
        <v>1.7063522480800231</v>
      </c>
    </row>
    <row r="13" spans="1:7" ht="15" customHeight="1" x14ac:dyDescent="0.25">
      <c r="A13" s="16">
        <v>9</v>
      </c>
      <c r="B13" s="47" t="s">
        <v>44</v>
      </c>
      <c r="C13" s="30" t="s">
        <v>98</v>
      </c>
      <c r="D13" s="31">
        <f>INDEX(MMULT(MINVERSE(Step2_Lq_XtX!$B$4:$P$18),Step2_Lq_XtX!$B$23:$B$37),10,1)</f>
        <v>1.4400356568389228E-4</v>
      </c>
      <c r="E13" s="10" t="s">
        <v>99</v>
      </c>
      <c r="F13" s="72">
        <f>20^3</f>
        <v>8000</v>
      </c>
      <c r="G13" s="17">
        <f t="shared" si="0"/>
        <v>1.1520285254711382</v>
      </c>
    </row>
    <row r="14" spans="1:7" ht="15" customHeight="1" x14ac:dyDescent="0.25">
      <c r="A14" s="49">
        <v>10</v>
      </c>
      <c r="B14" s="47" t="s">
        <v>45</v>
      </c>
      <c r="C14" s="50" t="s">
        <v>100</v>
      </c>
      <c r="D14" s="51">
        <f>INDEX(MMULT(MINVERSE(Step2_Lq_XtX!$B$4:$P$18),Step2_Lq_XtX!$B$23:$B$37),11,1)</f>
        <v>-2.5884912910117616E-7</v>
      </c>
      <c r="E14" s="48" t="s">
        <v>101</v>
      </c>
      <c r="F14" s="80">
        <f>(-30)^4</f>
        <v>810000</v>
      </c>
      <c r="G14" s="52">
        <f t="shared" si="0"/>
        <v>-0.2096677945719527</v>
      </c>
    </row>
    <row r="15" spans="1:7" ht="15" customHeight="1" x14ac:dyDescent="0.25">
      <c r="A15" s="16">
        <v>11</v>
      </c>
      <c r="B15" s="47" t="s">
        <v>46</v>
      </c>
      <c r="C15" s="30" t="s">
        <v>102</v>
      </c>
      <c r="D15" s="31">
        <f>INDEX(MMULT(MINVERSE(Step2_Lq_XtX!$B$4:$P$18),Step2_Lq_XtX!$B$23:$B$37),12,1)</f>
        <v>-3.5973036156215082E-8</v>
      </c>
      <c r="E15" s="10" t="s">
        <v>103</v>
      </c>
      <c r="F15" s="72">
        <f>(-30)^3*20</f>
        <v>-540000</v>
      </c>
      <c r="G15" s="17">
        <f t="shared" si="0"/>
        <v>1.9425439524356145E-2</v>
      </c>
    </row>
    <row r="16" spans="1:7" ht="15" customHeight="1" x14ac:dyDescent="0.25">
      <c r="A16" s="49">
        <v>12</v>
      </c>
      <c r="B16" s="47" t="s">
        <v>47</v>
      </c>
      <c r="C16" s="50" t="s">
        <v>104</v>
      </c>
      <c r="D16" s="51">
        <f>INDEX(MMULT(MINVERSE(Step2_Lq_XtX!$B$4:$P$18),Step2_Lq_XtX!$B$23:$B$37),13,1)</f>
        <v>-6.2198137492578808E-7</v>
      </c>
      <c r="E16" s="48" t="s">
        <v>105</v>
      </c>
      <c r="F16" s="80">
        <f>(-30)^2*20^2</f>
        <v>360000</v>
      </c>
      <c r="G16" s="52">
        <f t="shared" si="0"/>
        <v>-0.22391329497328372</v>
      </c>
    </row>
    <row r="17" spans="1:7" ht="15" customHeight="1" x14ac:dyDescent="0.25">
      <c r="A17" s="16">
        <v>13</v>
      </c>
      <c r="B17" s="47" t="s">
        <v>48</v>
      </c>
      <c r="C17" s="30" t="s">
        <v>106</v>
      </c>
      <c r="D17" s="31">
        <f>INDEX(MMULT(MINVERSE(Step2_Lq_XtX!$B$4:$P$18),Step2_Lq_XtX!$B$23:$B$37),14,1)</f>
        <v>5.9060019763981786E-7</v>
      </c>
      <c r="E17" s="10" t="s">
        <v>107</v>
      </c>
      <c r="F17" s="72">
        <f>(-30)*20^3</f>
        <v>-240000</v>
      </c>
      <c r="G17" s="17">
        <f t="shared" si="0"/>
        <v>-0.14174404743355629</v>
      </c>
    </row>
    <row r="18" spans="1:7" ht="15" customHeight="1" x14ac:dyDescent="0.25">
      <c r="A18" s="49">
        <v>14</v>
      </c>
      <c r="B18" s="47" t="s">
        <v>49</v>
      </c>
      <c r="C18" s="50" t="s">
        <v>108</v>
      </c>
      <c r="D18" s="51">
        <f>INDEX(MMULT(MINVERSE(Step2_Lq_XtX!$B$4:$P$18),Step2_Lq_XtX!$B$23:$B$37),15,1)</f>
        <v>-7.51949768625082E-7</v>
      </c>
      <c r="E18" s="48" t="s">
        <v>109</v>
      </c>
      <c r="F18" s="80">
        <f>20^4</f>
        <v>160000</v>
      </c>
      <c r="G18" s="52">
        <f t="shared" si="0"/>
        <v>-0.12031196298001312</v>
      </c>
    </row>
    <row r="19" spans="1:7" ht="15" customHeight="1" x14ac:dyDescent="0.25">
      <c r="A19" s="32"/>
      <c r="B19" s="33" t="s">
        <v>110</v>
      </c>
      <c r="C19" s="32"/>
      <c r="D19" s="32"/>
      <c r="E19" s="32"/>
      <c r="F19" s="32"/>
      <c r="G19" s="34">
        <f>SUM(G4:G18)</f>
        <v>498.35578670798373</v>
      </c>
    </row>
    <row r="20" spans="1:7" ht="15" customHeight="1" x14ac:dyDescent="0.25">
      <c r="A20" s="2" t="s">
        <v>111</v>
      </c>
      <c r="B20" s="2"/>
      <c r="C20" s="2"/>
      <c r="D20" s="2"/>
      <c r="E20" s="2"/>
      <c r="F20" s="2"/>
      <c r="G20" s="2"/>
    </row>
  </sheetData>
  <mergeCells count="3">
    <mergeCell ref="A1:G1"/>
    <mergeCell ref="A2:G2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2"/>
  <sheetViews>
    <sheetView zoomScaleNormal="100" workbookViewId="0">
      <pane ySplit="2" topLeftCell="A3" activePane="bottomLeft" state="frozen"/>
      <selection pane="bottomLeft" activeCell="P28" sqref="P28"/>
    </sheetView>
  </sheetViews>
  <sheetFormatPr defaultColWidth="8.7109375" defaultRowHeight="15" x14ac:dyDescent="0.25"/>
  <cols>
    <col min="1" max="1" width="5" customWidth="1"/>
    <col min="2" max="3" width="12" customWidth="1"/>
    <col min="4" max="8" width="20.7109375" customWidth="1"/>
  </cols>
  <sheetData>
    <row r="1" spans="1:8" ht="18" customHeight="1" x14ac:dyDescent="0.25">
      <c r="A1" s="1" t="s">
        <v>167</v>
      </c>
      <c r="B1" s="1"/>
      <c r="C1" s="1"/>
      <c r="D1" s="1"/>
      <c r="E1" s="1"/>
      <c r="F1" s="1"/>
      <c r="G1" s="1"/>
      <c r="H1" s="1"/>
    </row>
    <row r="2" spans="1:8" ht="30" customHeight="1" x14ac:dyDescent="0.25">
      <c r="A2" s="20" t="s">
        <v>25</v>
      </c>
      <c r="B2" s="20" t="s">
        <v>26</v>
      </c>
      <c r="C2" s="20" t="s">
        <v>27</v>
      </c>
      <c r="D2" s="20" t="s">
        <v>168</v>
      </c>
      <c r="E2" s="20" t="s">
        <v>169</v>
      </c>
      <c r="F2" s="20" t="s">
        <v>115</v>
      </c>
      <c r="G2" s="20" t="s">
        <v>116</v>
      </c>
      <c r="H2" s="20" t="s">
        <v>117</v>
      </c>
    </row>
    <row r="3" spans="1:8" ht="15" customHeight="1" x14ac:dyDescent="0.25">
      <c r="A3" s="49">
        <v>1</v>
      </c>
      <c r="B3" s="21">
        <f>Raw_Data!B3</f>
        <v>0</v>
      </c>
      <c r="C3" s="21">
        <f>Raw_Data!C3</f>
        <v>0</v>
      </c>
      <c r="D3" s="35">
        <f>Raw_Data!E3</f>
        <v>499.06425100000001</v>
      </c>
      <c r="E3" s="35">
        <f>Step3_Lq_Coefs!$D$4*Step1_Features!D4+Step3_Lq_Coefs!$D$5*Step1_Features!E4+Step3_Lq_Coefs!$D$6*Step1_Features!F4+Step3_Lq_Coefs!$D$7*Step1_Features!G4+Step3_Lq_Coefs!$D$8*Step1_Features!H4+Step3_Lq_Coefs!$D$9*Step1_Features!I4+Step3_Lq_Coefs!$D$10*Step1_Features!J4+Step3_Lq_Coefs!$D$11*Step1_Features!K4+Step3_Lq_Coefs!$D$12*Step1_Features!L4+Step3_Lq_Coefs!$D$13*Step1_Features!M4+Step3_Lq_Coefs!$D$14*Step1_Features!N4+Step3_Lq_Coefs!$D$15*Step1_Features!O4+Step3_Lq_Coefs!$D$16*Step1_Features!P4+Step3_Lq_Coefs!$D$17*Step1_Features!Q4+Step3_Lq_Coefs!$D$18*Step1_Features!R4</f>
        <v>499.06586330792697</v>
      </c>
      <c r="F3" s="35">
        <f t="shared" ref="F3:F34" si="0">D3-E3</f>
        <v>-1.6123079269618756E-3</v>
      </c>
      <c r="G3" s="52">
        <f t="shared" ref="G3:G34" si="1">F3^2</f>
        <v>2.599536851344101E-6</v>
      </c>
      <c r="H3" s="35">
        <f t="shared" ref="H3:H34" si="2">F3/D3*100</f>
        <v>-3.2306620314542935E-4</v>
      </c>
    </row>
    <row r="4" spans="1:8" ht="15" customHeight="1" x14ac:dyDescent="0.25">
      <c r="A4" s="16">
        <v>2</v>
      </c>
      <c r="B4" s="21">
        <f>Raw_Data!B4</f>
        <v>0</v>
      </c>
      <c r="C4" s="21">
        <f>Raw_Data!C4</f>
        <v>0</v>
      </c>
      <c r="D4" s="25">
        <f>Raw_Data!E4</f>
        <v>498.47148900000002</v>
      </c>
      <c r="E4" s="25">
        <f>Step3_Lq_Coefs!$D$4*Step1_Features!D5+Step3_Lq_Coefs!$D$5*Step1_Features!E5+Step3_Lq_Coefs!$D$6*Step1_Features!F5+Step3_Lq_Coefs!$D$7*Step1_Features!G5+Step3_Lq_Coefs!$D$8*Step1_Features!H5+Step3_Lq_Coefs!$D$9*Step1_Features!I5+Step3_Lq_Coefs!$D$10*Step1_Features!J5+Step3_Lq_Coefs!$D$11*Step1_Features!K5+Step3_Lq_Coefs!$D$12*Step1_Features!L5+Step3_Lq_Coefs!$D$13*Step1_Features!M5+Step3_Lq_Coefs!$D$14*Step1_Features!N5+Step3_Lq_Coefs!$D$15*Step1_Features!O5+Step3_Lq_Coefs!$D$16*Step1_Features!P5+Step3_Lq_Coefs!$D$17*Step1_Features!Q5+Step3_Lq_Coefs!$D$18*Step1_Features!R5</f>
        <v>499.06586330792697</v>
      </c>
      <c r="F4" s="35">
        <f t="shared" si="0"/>
        <v>-0.59437430792695523</v>
      </c>
      <c r="G4" s="17">
        <f t="shared" si="1"/>
        <v>0.35328081792364702</v>
      </c>
      <c r="H4" s="25">
        <f t="shared" si="2"/>
        <v>-0.11923937899023052</v>
      </c>
    </row>
    <row r="5" spans="1:8" ht="15" customHeight="1" x14ac:dyDescent="0.25">
      <c r="A5" s="49">
        <v>3</v>
      </c>
      <c r="B5" s="21">
        <f>Raw_Data!B5</f>
        <v>0</v>
      </c>
      <c r="C5" s="21">
        <f>Raw_Data!C5</f>
        <v>0</v>
      </c>
      <c r="D5" s="35">
        <f>Raw_Data!E5</f>
        <v>498.21917200000001</v>
      </c>
      <c r="E5" s="35">
        <f>Step3_Lq_Coefs!$D$4*Step1_Features!D6+Step3_Lq_Coefs!$D$5*Step1_Features!E6+Step3_Lq_Coefs!$D$6*Step1_Features!F6+Step3_Lq_Coefs!$D$7*Step1_Features!G6+Step3_Lq_Coefs!$D$8*Step1_Features!H6+Step3_Lq_Coefs!$D$9*Step1_Features!I6+Step3_Lq_Coefs!$D$10*Step1_Features!J6+Step3_Lq_Coefs!$D$11*Step1_Features!K6+Step3_Lq_Coefs!$D$12*Step1_Features!L6+Step3_Lq_Coefs!$D$13*Step1_Features!M6+Step3_Lq_Coefs!$D$14*Step1_Features!N6+Step3_Lq_Coefs!$D$15*Step1_Features!O6+Step3_Lq_Coefs!$D$16*Step1_Features!P6+Step3_Lq_Coefs!$D$17*Step1_Features!Q6+Step3_Lq_Coefs!$D$18*Step1_Features!R6</f>
        <v>499.06586330792697</v>
      </c>
      <c r="F5" s="35">
        <f t="shared" si="0"/>
        <v>-0.84669130792696023</v>
      </c>
      <c r="G5" s="52">
        <f t="shared" si="1"/>
        <v>0.71688617091906659</v>
      </c>
      <c r="H5" s="35">
        <f t="shared" si="2"/>
        <v>-0.16994354202149414</v>
      </c>
    </row>
    <row r="6" spans="1:8" ht="15" customHeight="1" x14ac:dyDescent="0.25">
      <c r="A6" s="16">
        <v>4</v>
      </c>
      <c r="B6" s="21">
        <f>Raw_Data!B6</f>
        <v>0</v>
      </c>
      <c r="C6" s="21">
        <f>Raw_Data!C6</f>
        <v>0</v>
      </c>
      <c r="D6" s="25">
        <f>Raw_Data!E6</f>
        <v>498.37279699999999</v>
      </c>
      <c r="E6" s="25">
        <f>Step3_Lq_Coefs!$D$4*Step1_Features!D7+Step3_Lq_Coefs!$D$5*Step1_Features!E7+Step3_Lq_Coefs!$D$6*Step1_Features!F7+Step3_Lq_Coefs!$D$7*Step1_Features!G7+Step3_Lq_Coefs!$D$8*Step1_Features!H7+Step3_Lq_Coefs!$D$9*Step1_Features!I7+Step3_Lq_Coefs!$D$10*Step1_Features!J7+Step3_Lq_Coefs!$D$11*Step1_Features!K7+Step3_Lq_Coefs!$D$12*Step1_Features!L7+Step3_Lq_Coefs!$D$13*Step1_Features!M7+Step3_Lq_Coefs!$D$14*Step1_Features!N7+Step3_Lq_Coefs!$D$15*Step1_Features!O7+Step3_Lq_Coefs!$D$16*Step1_Features!P7+Step3_Lq_Coefs!$D$17*Step1_Features!Q7+Step3_Lq_Coefs!$D$18*Step1_Features!R7</f>
        <v>499.06586330792697</v>
      </c>
      <c r="F6" s="35">
        <f t="shared" si="0"/>
        <v>-0.69306630792698343</v>
      </c>
      <c r="G6" s="17">
        <f t="shared" si="1"/>
        <v>0.48034090718354022</v>
      </c>
      <c r="H6" s="25">
        <f t="shared" si="2"/>
        <v>-0.13906583828390284</v>
      </c>
    </row>
    <row r="7" spans="1:8" ht="15" customHeight="1" x14ac:dyDescent="0.25">
      <c r="A7" s="49">
        <v>5</v>
      </c>
      <c r="B7" s="21">
        <f>Raw_Data!B7</f>
        <v>0</v>
      </c>
      <c r="C7" s="21">
        <f>Raw_Data!C7</f>
        <v>0</v>
      </c>
      <c r="D7" s="35">
        <f>Raw_Data!E7</f>
        <v>498.89410900000001</v>
      </c>
      <c r="E7" s="35">
        <f>Step3_Lq_Coefs!$D$4*Step1_Features!D8+Step3_Lq_Coefs!$D$5*Step1_Features!E8+Step3_Lq_Coefs!$D$6*Step1_Features!F8+Step3_Lq_Coefs!$D$7*Step1_Features!G8+Step3_Lq_Coefs!$D$8*Step1_Features!H8+Step3_Lq_Coefs!$D$9*Step1_Features!I8+Step3_Lq_Coefs!$D$10*Step1_Features!J8+Step3_Lq_Coefs!$D$11*Step1_Features!K8+Step3_Lq_Coefs!$D$12*Step1_Features!L8+Step3_Lq_Coefs!$D$13*Step1_Features!M8+Step3_Lq_Coefs!$D$14*Step1_Features!N8+Step3_Lq_Coefs!$D$15*Step1_Features!O8+Step3_Lq_Coefs!$D$16*Step1_Features!P8+Step3_Lq_Coefs!$D$17*Step1_Features!Q8+Step3_Lq_Coefs!$D$18*Step1_Features!R8</f>
        <v>499.06586330792697</v>
      </c>
      <c r="F7" s="35">
        <f t="shared" si="0"/>
        <v>-0.17175430792696034</v>
      </c>
      <c r="G7" s="52">
        <f t="shared" si="1"/>
        <v>2.9499542291469109E-2</v>
      </c>
      <c r="H7" s="35">
        <f t="shared" si="2"/>
        <v>-3.4427006618945731E-2</v>
      </c>
    </row>
    <row r="8" spans="1:8" ht="15" customHeight="1" x14ac:dyDescent="0.25">
      <c r="A8" s="16">
        <v>6</v>
      </c>
      <c r="B8" s="21">
        <f>Raw_Data!B8</f>
        <v>0</v>
      </c>
      <c r="C8" s="21">
        <f>Raw_Data!C8</f>
        <v>0</v>
      </c>
      <c r="D8" s="25">
        <f>Raw_Data!E8</f>
        <v>499.64173399999999</v>
      </c>
      <c r="E8" s="25">
        <f>Step3_Lq_Coefs!$D$4*Step1_Features!D9+Step3_Lq_Coefs!$D$5*Step1_Features!E9+Step3_Lq_Coefs!$D$6*Step1_Features!F9+Step3_Lq_Coefs!$D$7*Step1_Features!G9+Step3_Lq_Coefs!$D$8*Step1_Features!H9+Step3_Lq_Coefs!$D$9*Step1_Features!I9+Step3_Lq_Coefs!$D$10*Step1_Features!J9+Step3_Lq_Coefs!$D$11*Step1_Features!K9+Step3_Lq_Coefs!$D$12*Step1_Features!L9+Step3_Lq_Coefs!$D$13*Step1_Features!M9+Step3_Lq_Coefs!$D$14*Step1_Features!N9+Step3_Lq_Coefs!$D$15*Step1_Features!O9+Step3_Lq_Coefs!$D$16*Step1_Features!P9+Step3_Lq_Coefs!$D$17*Step1_Features!Q9+Step3_Lq_Coefs!$D$18*Step1_Features!R9</f>
        <v>499.06586330792697</v>
      </c>
      <c r="F8" s="35">
        <f t="shared" si="0"/>
        <v>0.57587069207301056</v>
      </c>
      <c r="G8" s="17">
        <f t="shared" si="1"/>
        <v>0.33162705398864817</v>
      </c>
      <c r="H8" s="25">
        <f t="shared" si="2"/>
        <v>0.11525672354523743</v>
      </c>
    </row>
    <row r="9" spans="1:8" ht="15" customHeight="1" x14ac:dyDescent="0.25">
      <c r="A9" s="49">
        <v>7</v>
      </c>
      <c r="B9" s="21">
        <f>Raw_Data!B9</f>
        <v>0</v>
      </c>
      <c r="C9" s="21">
        <f>Raw_Data!C9</f>
        <v>0</v>
      </c>
      <c r="D9" s="35">
        <f>Raw_Data!E9</f>
        <v>500.41566999999998</v>
      </c>
      <c r="E9" s="35">
        <f>Step3_Lq_Coefs!$D$4*Step1_Features!D10+Step3_Lq_Coefs!$D$5*Step1_Features!E10+Step3_Lq_Coefs!$D$6*Step1_Features!F10+Step3_Lq_Coefs!$D$7*Step1_Features!G10+Step3_Lq_Coefs!$D$8*Step1_Features!H10+Step3_Lq_Coefs!$D$9*Step1_Features!I10+Step3_Lq_Coefs!$D$10*Step1_Features!J10+Step3_Lq_Coefs!$D$11*Step1_Features!K10+Step3_Lq_Coefs!$D$12*Step1_Features!L10+Step3_Lq_Coefs!$D$13*Step1_Features!M10+Step3_Lq_Coefs!$D$14*Step1_Features!N10+Step3_Lq_Coefs!$D$15*Step1_Features!O10+Step3_Lq_Coefs!$D$16*Step1_Features!P10+Step3_Lq_Coefs!$D$17*Step1_Features!Q10+Step3_Lq_Coefs!$D$18*Step1_Features!R10</f>
        <v>499.06586330792697</v>
      </c>
      <c r="F9" s="35">
        <f t="shared" si="0"/>
        <v>1.3498066920730025</v>
      </c>
      <c r="G9" s="52">
        <f t="shared" si="1"/>
        <v>1.8219781059650615</v>
      </c>
      <c r="H9" s="35">
        <f t="shared" si="2"/>
        <v>0.26973709517789529</v>
      </c>
    </row>
    <row r="10" spans="1:8" ht="15" customHeight="1" x14ac:dyDescent="0.25">
      <c r="A10" s="16">
        <v>8</v>
      </c>
      <c r="B10" s="21">
        <f>Raw_Data!B10</f>
        <v>0</v>
      </c>
      <c r="C10" s="21">
        <f>Raw_Data!C10</f>
        <v>10.280355</v>
      </c>
      <c r="D10" s="25">
        <f>Raw_Data!E10</f>
        <v>497.855209</v>
      </c>
      <c r="E10" s="25">
        <f>Step3_Lq_Coefs!$D$4*Step1_Features!D11+Step3_Lq_Coefs!$D$5*Step1_Features!E11+Step3_Lq_Coefs!$D$6*Step1_Features!F11+Step3_Lq_Coefs!$D$7*Step1_Features!G11+Step3_Lq_Coefs!$D$8*Step1_Features!H11+Step3_Lq_Coefs!$D$9*Step1_Features!I11+Step3_Lq_Coefs!$D$10*Step1_Features!J11+Step3_Lq_Coefs!$D$11*Step1_Features!K11+Step3_Lq_Coefs!$D$12*Step1_Features!L11+Step3_Lq_Coefs!$D$13*Step1_Features!M11+Step3_Lq_Coefs!$D$14*Step1_Features!N11+Step3_Lq_Coefs!$D$15*Step1_Features!O11+Step3_Lq_Coefs!$D$16*Step1_Features!P11+Step3_Lq_Coefs!$D$17*Step1_Features!Q11+Step3_Lq_Coefs!$D$18*Step1_Features!R11</f>
        <v>497.40014793209127</v>
      </c>
      <c r="F10" s="35">
        <f t="shared" si="0"/>
        <v>0.45506106790872991</v>
      </c>
      <c r="G10" s="17">
        <f t="shared" si="1"/>
        <v>0.20708057552623368</v>
      </c>
      <c r="H10" s="25">
        <f t="shared" si="2"/>
        <v>9.1404299820980653E-2</v>
      </c>
    </row>
    <row r="11" spans="1:8" ht="15" customHeight="1" x14ac:dyDescent="0.25">
      <c r="A11" s="49">
        <v>9</v>
      </c>
      <c r="B11" s="21">
        <f>Raw_Data!B11</f>
        <v>-2.660752</v>
      </c>
      <c r="C11" s="21">
        <f>Raw_Data!C11</f>
        <v>9.9300610000000002</v>
      </c>
      <c r="D11" s="35">
        <f>Raw_Data!E11</f>
        <v>498.09764799999999</v>
      </c>
      <c r="E11" s="35">
        <f>Step3_Lq_Coefs!$D$4*Step1_Features!D12+Step3_Lq_Coefs!$D$5*Step1_Features!E12+Step3_Lq_Coefs!$D$6*Step1_Features!F12+Step3_Lq_Coefs!$D$7*Step1_Features!G12+Step3_Lq_Coefs!$D$8*Step1_Features!H12+Step3_Lq_Coefs!$D$9*Step1_Features!I12+Step3_Lq_Coefs!$D$10*Step1_Features!J12+Step3_Lq_Coefs!$D$11*Step1_Features!K12+Step3_Lq_Coefs!$D$12*Step1_Features!L12+Step3_Lq_Coefs!$D$13*Step1_Features!M12+Step3_Lq_Coefs!$D$14*Step1_Features!N12+Step3_Lq_Coefs!$D$15*Step1_Features!O12+Step3_Lq_Coefs!$D$16*Step1_Features!P12+Step3_Lq_Coefs!$D$17*Step1_Features!Q12+Step3_Lq_Coefs!$D$18*Step1_Features!R12</f>
        <v>498.2396306569193</v>
      </c>
      <c r="F11" s="35">
        <f t="shared" si="0"/>
        <v>-0.14198265691931056</v>
      </c>
      <c r="G11" s="52">
        <f t="shared" si="1"/>
        <v>2.0159074865866645E-2</v>
      </c>
      <c r="H11" s="35">
        <f t="shared" si="2"/>
        <v>-2.850498441207467E-2</v>
      </c>
    </row>
    <row r="12" spans="1:8" ht="15" customHeight="1" x14ac:dyDescent="0.25">
      <c r="A12" s="16">
        <v>10</v>
      </c>
      <c r="B12" s="21">
        <f>Raw_Data!B12</f>
        <v>-5.1401779999999997</v>
      </c>
      <c r="C12" s="21">
        <f>Raw_Data!C12</f>
        <v>8.9030489999999993</v>
      </c>
      <c r="D12" s="25">
        <f>Raw_Data!E12</f>
        <v>498.58683500000001</v>
      </c>
      <c r="E12" s="25">
        <f>Step3_Lq_Coefs!$D$4*Step1_Features!D13+Step3_Lq_Coefs!$D$5*Step1_Features!E13+Step3_Lq_Coefs!$D$6*Step1_Features!F13+Step3_Lq_Coefs!$D$7*Step1_Features!G13+Step3_Lq_Coefs!$D$8*Step1_Features!H13+Step3_Lq_Coefs!$D$9*Step1_Features!I13+Step3_Lq_Coefs!$D$10*Step1_Features!J13+Step3_Lq_Coefs!$D$11*Step1_Features!K13+Step3_Lq_Coefs!$D$12*Step1_Features!L13+Step3_Lq_Coefs!$D$13*Step1_Features!M13+Step3_Lq_Coefs!$D$14*Step1_Features!N13+Step3_Lq_Coefs!$D$15*Step1_Features!O13+Step3_Lq_Coefs!$D$16*Step1_Features!P13+Step3_Lq_Coefs!$D$17*Step1_Features!Q13+Step3_Lq_Coefs!$D$18*Step1_Features!R13</f>
        <v>499.07673598863317</v>
      </c>
      <c r="F12" s="35">
        <f t="shared" si="0"/>
        <v>-0.48990098863316689</v>
      </c>
      <c r="G12" s="17">
        <f t="shared" si="1"/>
        <v>0.24000297866375431</v>
      </c>
      <c r="H12" s="25">
        <f t="shared" si="2"/>
        <v>-9.8257906996915972E-2</v>
      </c>
    </row>
    <row r="13" spans="1:8" ht="15" customHeight="1" x14ac:dyDescent="0.25">
      <c r="A13" s="49">
        <v>11</v>
      </c>
      <c r="B13" s="21">
        <f>Raw_Data!B13</f>
        <v>-7.2693089999999998</v>
      </c>
      <c r="C13" s="21">
        <f>Raw_Data!C13</f>
        <v>7.2693089999999998</v>
      </c>
      <c r="D13" s="35">
        <f>Raw_Data!E13</f>
        <v>499.308266</v>
      </c>
      <c r="E13" s="35">
        <f>Step3_Lq_Coefs!$D$4*Step1_Features!D14+Step3_Lq_Coefs!$D$5*Step1_Features!E14+Step3_Lq_Coefs!$D$6*Step1_Features!F14+Step3_Lq_Coefs!$D$7*Step1_Features!G14+Step3_Lq_Coefs!$D$8*Step1_Features!H14+Step3_Lq_Coefs!$D$9*Step1_Features!I14+Step3_Lq_Coefs!$D$10*Step1_Features!J14+Step3_Lq_Coefs!$D$11*Step1_Features!K14+Step3_Lq_Coefs!$D$12*Step1_Features!L14+Step3_Lq_Coefs!$D$13*Step1_Features!M14+Step3_Lq_Coefs!$D$14*Step1_Features!N14+Step3_Lq_Coefs!$D$15*Step1_Features!O14+Step3_Lq_Coefs!$D$16*Step1_Features!P14+Step3_Lq_Coefs!$D$17*Step1_Features!Q14+Step3_Lq_Coefs!$D$18*Step1_Features!R14</f>
        <v>499.85059253668175</v>
      </c>
      <c r="F13" s="35">
        <f t="shared" si="0"/>
        <v>-0.5423265366817418</v>
      </c>
      <c r="G13" s="52">
        <f t="shared" si="1"/>
        <v>0.29411807238921261</v>
      </c>
      <c r="H13" s="35">
        <f t="shared" si="2"/>
        <v>-0.1086155735065964</v>
      </c>
    </row>
    <row r="14" spans="1:8" ht="15" customHeight="1" x14ac:dyDescent="0.25">
      <c r="A14" s="16">
        <v>12</v>
      </c>
      <c r="B14" s="21">
        <f>Raw_Data!B14</f>
        <v>-8.9030489999999993</v>
      </c>
      <c r="C14" s="21">
        <f>Raw_Data!C14</f>
        <v>5.1401779999999997</v>
      </c>
      <c r="D14" s="25">
        <f>Raw_Data!E14</f>
        <v>500.23981600000002</v>
      </c>
      <c r="E14" s="25">
        <f>Step3_Lq_Coefs!$D$4*Step1_Features!D15+Step3_Lq_Coefs!$D$5*Step1_Features!E15+Step3_Lq_Coefs!$D$6*Step1_Features!F15+Step3_Lq_Coefs!$D$7*Step1_Features!G15+Step3_Lq_Coefs!$D$8*Step1_Features!H15+Step3_Lq_Coefs!$D$9*Step1_Features!I15+Step3_Lq_Coefs!$D$10*Step1_Features!J15+Step3_Lq_Coefs!$D$11*Step1_Features!K15+Step3_Lq_Coefs!$D$12*Step1_Features!L15+Step3_Lq_Coefs!$D$13*Step1_Features!M15+Step3_Lq_Coefs!$D$14*Step1_Features!N15+Step3_Lq_Coefs!$D$15*Step1_Features!O15+Step3_Lq_Coefs!$D$16*Step1_Features!P15+Step3_Lq_Coefs!$D$17*Step1_Features!Q15+Step3_Lq_Coefs!$D$18*Step1_Features!R15</f>
        <v>500.50324966078108</v>
      </c>
      <c r="F14" s="35">
        <f t="shared" si="0"/>
        <v>-0.26343366078106101</v>
      </c>
      <c r="G14" s="17">
        <f t="shared" si="1"/>
        <v>6.9397293632511126E-2</v>
      </c>
      <c r="H14" s="25">
        <f t="shared" si="2"/>
        <v>-5.2661474028101153E-2</v>
      </c>
    </row>
    <row r="15" spans="1:8" ht="15" customHeight="1" x14ac:dyDescent="0.25">
      <c r="A15" s="49">
        <v>13</v>
      </c>
      <c r="B15" s="21">
        <f>Raw_Data!B15</f>
        <v>-9.9300610000000002</v>
      </c>
      <c r="C15" s="21">
        <f>Raw_Data!C15</f>
        <v>2.660752</v>
      </c>
      <c r="D15" s="35">
        <f>Raw_Data!E15</f>
        <v>501.16483299999999</v>
      </c>
      <c r="E15" s="35">
        <f>Step3_Lq_Coefs!$D$4*Step1_Features!D16+Step3_Lq_Coefs!$D$5*Step1_Features!E16+Step3_Lq_Coefs!$D$6*Step1_Features!F16+Step3_Lq_Coefs!$D$7*Step1_Features!G16+Step3_Lq_Coefs!$D$8*Step1_Features!H16+Step3_Lq_Coefs!$D$9*Step1_Features!I16+Step3_Lq_Coefs!$D$10*Step1_Features!J16+Step3_Lq_Coefs!$D$11*Step1_Features!K16+Step3_Lq_Coefs!$D$12*Step1_Features!L16+Step3_Lq_Coefs!$D$13*Step1_Features!M16+Step3_Lq_Coefs!$D$14*Step1_Features!N16+Step3_Lq_Coefs!$D$15*Step1_Features!O16+Step3_Lq_Coefs!$D$16*Step1_Features!P16+Step3_Lq_Coefs!$D$17*Step1_Features!Q16+Step3_Lq_Coefs!$D$18*Step1_Features!R16</f>
        <v>500.98042851822311</v>
      </c>
      <c r="F15" s="35">
        <f t="shared" si="0"/>
        <v>0.1844044817768804</v>
      </c>
      <c r="G15" s="52">
        <f t="shared" si="1"/>
        <v>3.400501289939982E-2</v>
      </c>
      <c r="H15" s="35">
        <f t="shared" si="2"/>
        <v>3.6795175885152423E-2</v>
      </c>
    </row>
    <row r="16" spans="1:8" ht="15" customHeight="1" x14ac:dyDescent="0.25">
      <c r="A16" s="16">
        <v>14</v>
      </c>
      <c r="B16" s="21">
        <f>Raw_Data!B16</f>
        <v>-10.280355</v>
      </c>
      <c r="C16" s="21">
        <f>Raw_Data!C16</f>
        <v>0</v>
      </c>
      <c r="D16" s="25">
        <f>Raw_Data!E16</f>
        <v>501.97654899999998</v>
      </c>
      <c r="E16" s="25">
        <f>Step3_Lq_Coefs!$D$4*Step1_Features!D17+Step3_Lq_Coefs!$D$5*Step1_Features!E17+Step3_Lq_Coefs!$D$6*Step1_Features!F17+Step3_Lq_Coefs!$D$7*Step1_Features!G17+Step3_Lq_Coefs!$D$8*Step1_Features!H17+Step3_Lq_Coefs!$D$9*Step1_Features!I17+Step3_Lq_Coefs!$D$10*Step1_Features!J17+Step3_Lq_Coefs!$D$11*Step1_Features!K17+Step3_Lq_Coefs!$D$12*Step1_Features!L17+Step3_Lq_Coefs!$D$13*Step1_Features!M17+Step3_Lq_Coefs!$D$14*Step1_Features!N17+Step3_Lq_Coefs!$D$15*Step1_Features!O17+Step3_Lq_Coefs!$D$16*Step1_Features!P17+Step3_Lq_Coefs!$D$17*Step1_Features!Q17+Step3_Lq_Coefs!$D$18*Step1_Features!R17</f>
        <v>501.23435401202943</v>
      </c>
      <c r="F16" s="35">
        <f t="shared" si="0"/>
        <v>0.74219498797054939</v>
      </c>
      <c r="G16" s="17">
        <f t="shared" si="1"/>
        <v>0.55085340016860396</v>
      </c>
      <c r="H16" s="25">
        <f t="shared" si="2"/>
        <v>0.14785451420969656</v>
      </c>
    </row>
    <row r="17" spans="1:8" ht="15" customHeight="1" x14ac:dyDescent="0.25">
      <c r="A17" s="49">
        <v>15</v>
      </c>
      <c r="B17" s="21">
        <f>Raw_Data!B17</f>
        <v>0</v>
      </c>
      <c r="C17" s="21">
        <f>Raw_Data!C17</f>
        <v>20.560711000000001</v>
      </c>
      <c r="D17" s="35">
        <f>Raw_Data!E17</f>
        <v>494.59659199999999</v>
      </c>
      <c r="E17" s="35">
        <f>Step3_Lq_Coefs!$D$4*Step1_Features!D18+Step3_Lq_Coefs!$D$5*Step1_Features!E18+Step3_Lq_Coefs!$D$6*Step1_Features!F18+Step3_Lq_Coefs!$D$7*Step1_Features!G18+Step3_Lq_Coefs!$D$8*Step1_Features!H18+Step3_Lq_Coefs!$D$9*Step1_Features!I18+Step3_Lq_Coefs!$D$10*Step1_Features!J18+Step3_Lq_Coefs!$D$11*Step1_Features!K18+Step3_Lq_Coefs!$D$12*Step1_Features!L18+Step3_Lq_Coefs!$D$13*Step1_Features!M18+Step3_Lq_Coefs!$D$14*Step1_Features!N18+Step3_Lq_Coefs!$D$15*Step1_Features!O18+Step3_Lq_Coefs!$D$16*Step1_Features!P18+Step3_Lq_Coefs!$D$17*Step1_Features!Q18+Step3_Lq_Coefs!$D$18*Step1_Features!R18</f>
        <v>493.89258060105146</v>
      </c>
      <c r="F17" s="35">
        <f t="shared" si="0"/>
        <v>0.70401139894852349</v>
      </c>
      <c r="G17" s="52">
        <f t="shared" si="1"/>
        <v>0.49563204984945708</v>
      </c>
      <c r="H17" s="35">
        <f t="shared" si="2"/>
        <v>0.14234052768170377</v>
      </c>
    </row>
    <row r="18" spans="1:8" ht="15" customHeight="1" x14ac:dyDescent="0.25">
      <c r="A18" s="16">
        <v>16</v>
      </c>
      <c r="B18" s="21">
        <f>Raw_Data!B18</f>
        <v>-5.321504</v>
      </c>
      <c r="C18" s="21">
        <f>Raw_Data!C18</f>
        <v>19.860120999999999</v>
      </c>
      <c r="D18" s="25">
        <f>Raw_Data!E18</f>
        <v>496.02513099999999</v>
      </c>
      <c r="E18" s="25">
        <f>Step3_Lq_Coefs!$D$4*Step1_Features!D19+Step3_Lq_Coefs!$D$5*Step1_Features!E19+Step3_Lq_Coefs!$D$6*Step1_Features!F19+Step3_Lq_Coefs!$D$7*Step1_Features!G19+Step3_Lq_Coefs!$D$8*Step1_Features!H19+Step3_Lq_Coefs!$D$9*Step1_Features!I19+Step3_Lq_Coefs!$D$10*Step1_Features!J19+Step3_Lq_Coefs!$D$11*Step1_Features!K19+Step3_Lq_Coefs!$D$12*Step1_Features!L19+Step3_Lq_Coefs!$D$13*Step1_Features!M19+Step3_Lq_Coefs!$D$14*Step1_Features!N19+Step3_Lq_Coefs!$D$15*Step1_Features!O19+Step3_Lq_Coefs!$D$16*Step1_Features!P19+Step3_Lq_Coefs!$D$17*Step1_Features!Q19+Step3_Lq_Coefs!$D$18*Step1_Features!R19</f>
        <v>495.74903878145767</v>
      </c>
      <c r="F18" s="35">
        <f t="shared" si="0"/>
        <v>0.27609221854231691</v>
      </c>
      <c r="G18" s="17">
        <f t="shared" si="1"/>
        <v>7.6226913139618477E-2</v>
      </c>
      <c r="H18" s="25">
        <f t="shared" si="2"/>
        <v>5.5660933546997429E-2</v>
      </c>
    </row>
    <row r="19" spans="1:8" ht="15" customHeight="1" x14ac:dyDescent="0.25">
      <c r="A19" s="49">
        <v>17</v>
      </c>
      <c r="B19" s="21">
        <f>Raw_Data!B19</f>
        <v>-10.280355</v>
      </c>
      <c r="C19" s="21">
        <f>Raw_Data!C19</f>
        <v>17.806097999999999</v>
      </c>
      <c r="D19" s="35">
        <f>Raw_Data!E19</f>
        <v>497.171449</v>
      </c>
      <c r="E19" s="35">
        <f>Step3_Lq_Coefs!$D$4*Step1_Features!D20+Step3_Lq_Coefs!$D$5*Step1_Features!E20+Step3_Lq_Coefs!$D$6*Step1_Features!F20+Step3_Lq_Coefs!$D$7*Step1_Features!G20+Step3_Lq_Coefs!$D$8*Step1_Features!H20+Step3_Lq_Coefs!$D$9*Step1_Features!I20+Step3_Lq_Coefs!$D$10*Step1_Features!J20+Step3_Lq_Coefs!$D$11*Step1_Features!K20+Step3_Lq_Coefs!$D$12*Step1_Features!L20+Step3_Lq_Coefs!$D$13*Step1_Features!M20+Step3_Lq_Coefs!$D$14*Step1_Features!N20+Step3_Lq_Coefs!$D$15*Step1_Features!O20+Step3_Lq_Coefs!$D$16*Step1_Features!P20+Step3_Lq_Coefs!$D$17*Step1_Features!Q20+Step3_Lq_Coefs!$D$18*Step1_Features!R20</f>
        <v>497.53053289949293</v>
      </c>
      <c r="F19" s="35">
        <f t="shared" si="0"/>
        <v>-0.35908389949292996</v>
      </c>
      <c r="G19" s="52">
        <f t="shared" si="1"/>
        <v>0.12894124687504863</v>
      </c>
      <c r="H19" s="35">
        <f t="shared" si="2"/>
        <v>-7.2225366161951493E-2</v>
      </c>
    </row>
    <row r="20" spans="1:8" ht="15" customHeight="1" x14ac:dyDescent="0.25">
      <c r="A20" s="16">
        <v>18</v>
      </c>
      <c r="B20" s="21">
        <f>Raw_Data!B20</f>
        <v>-14.538618</v>
      </c>
      <c r="C20" s="21">
        <f>Raw_Data!C20</f>
        <v>14.538618</v>
      </c>
      <c r="D20" s="25">
        <f>Raw_Data!E20</f>
        <v>498.53399000000002</v>
      </c>
      <c r="E20" s="25">
        <f>Step3_Lq_Coefs!$D$4*Step1_Features!D21+Step3_Lq_Coefs!$D$5*Step1_Features!E21+Step3_Lq_Coefs!$D$6*Step1_Features!F21+Step3_Lq_Coefs!$D$7*Step1_Features!G21+Step3_Lq_Coefs!$D$8*Step1_Features!H21+Step3_Lq_Coefs!$D$9*Step1_Features!I21+Step3_Lq_Coefs!$D$10*Step1_Features!J21+Step3_Lq_Coefs!$D$11*Step1_Features!K21+Step3_Lq_Coefs!$D$12*Step1_Features!L21+Step3_Lq_Coefs!$D$13*Step1_Features!M21+Step3_Lq_Coefs!$D$14*Step1_Features!N21+Step3_Lq_Coefs!$D$15*Step1_Features!O21+Step3_Lq_Coefs!$D$16*Step1_Features!P21+Step3_Lq_Coefs!$D$17*Step1_Features!Q21+Step3_Lq_Coefs!$D$18*Step1_Features!R21</f>
        <v>499.13937190122459</v>
      </c>
      <c r="F20" s="35">
        <f t="shared" si="0"/>
        <v>-0.60538190122457536</v>
      </c>
      <c r="G20" s="17">
        <f t="shared" si="1"/>
        <v>0.36648724633028151</v>
      </c>
      <c r="H20" s="25">
        <f t="shared" si="2"/>
        <v>-0.12143242253644038</v>
      </c>
    </row>
    <row r="21" spans="1:8" ht="15" customHeight="1" x14ac:dyDescent="0.25">
      <c r="A21" s="49">
        <v>19</v>
      </c>
      <c r="B21" s="21">
        <f>Raw_Data!B21</f>
        <v>-17.806097999999999</v>
      </c>
      <c r="C21" s="21">
        <f>Raw_Data!C21</f>
        <v>10.280355</v>
      </c>
      <c r="D21" s="35">
        <f>Raw_Data!E21</f>
        <v>500.09558700000002</v>
      </c>
      <c r="E21" s="35">
        <f>Step3_Lq_Coefs!$D$4*Step1_Features!D22+Step3_Lq_Coefs!$D$5*Step1_Features!E22+Step3_Lq_Coefs!$D$6*Step1_Features!F22+Step3_Lq_Coefs!$D$7*Step1_Features!G22+Step3_Lq_Coefs!$D$8*Step1_Features!H22+Step3_Lq_Coefs!$D$9*Step1_Features!I22+Step3_Lq_Coefs!$D$10*Step1_Features!J22+Step3_Lq_Coefs!$D$11*Step1_Features!K22+Step3_Lq_Coefs!$D$12*Step1_Features!L22+Step3_Lq_Coefs!$D$13*Step1_Features!M22+Step3_Lq_Coefs!$D$14*Step1_Features!N22+Step3_Lq_Coefs!$D$15*Step1_Features!O22+Step3_Lq_Coefs!$D$16*Step1_Features!P22+Step3_Lq_Coefs!$D$17*Step1_Features!Q22+Step3_Lq_Coefs!$D$18*Step1_Features!R22</f>
        <v>500.49741023552599</v>
      </c>
      <c r="F21" s="35">
        <f t="shared" si="0"/>
        <v>-0.40182323552596699</v>
      </c>
      <c r="G21" s="52">
        <f t="shared" si="1"/>
        <v>0.16146191260855675</v>
      </c>
      <c r="H21" s="35">
        <f t="shared" si="2"/>
        <v>-8.0349286410713122E-2</v>
      </c>
    </row>
    <row r="22" spans="1:8" ht="15" customHeight="1" x14ac:dyDescent="0.25">
      <c r="A22" s="16">
        <v>20</v>
      </c>
      <c r="B22" s="21">
        <f>Raw_Data!B22</f>
        <v>-19.860120999999999</v>
      </c>
      <c r="C22" s="21">
        <f>Raw_Data!C22</f>
        <v>5.321504</v>
      </c>
      <c r="D22" s="25">
        <f>Raw_Data!E22</f>
        <v>501.44136500000002</v>
      </c>
      <c r="E22" s="25">
        <f>Step3_Lq_Coefs!$D$4*Step1_Features!D23+Step3_Lq_Coefs!$D$5*Step1_Features!E23+Step3_Lq_Coefs!$D$6*Step1_Features!F23+Step3_Lq_Coefs!$D$7*Step1_Features!G23+Step3_Lq_Coefs!$D$8*Step1_Features!H23+Step3_Lq_Coefs!$D$9*Step1_Features!I23+Step3_Lq_Coefs!$D$10*Step1_Features!J23+Step3_Lq_Coefs!$D$11*Step1_Features!K23+Step3_Lq_Coefs!$D$12*Step1_Features!L23+Step3_Lq_Coefs!$D$13*Step1_Features!M23+Step3_Lq_Coefs!$D$14*Step1_Features!N23+Step3_Lq_Coefs!$D$15*Step1_Features!O23+Step3_Lq_Coefs!$D$16*Step1_Features!P23+Step3_Lq_Coefs!$D$17*Step1_Features!Q23+Step3_Lq_Coefs!$D$18*Step1_Features!R23</f>
        <v>501.51179393634152</v>
      </c>
      <c r="F22" s="35">
        <f t="shared" si="0"/>
        <v>-7.0428936341500048E-2</v>
      </c>
      <c r="G22" s="17">
        <f t="shared" si="1"/>
        <v>4.9602350741950662E-3</v>
      </c>
      <c r="H22" s="25">
        <f t="shared" si="2"/>
        <v>-1.4045298465055839E-2</v>
      </c>
    </row>
    <row r="23" spans="1:8" ht="15" customHeight="1" x14ac:dyDescent="0.25">
      <c r="A23" s="49">
        <v>21</v>
      </c>
      <c r="B23" s="21">
        <f>Raw_Data!B23</f>
        <v>-20.560711000000001</v>
      </c>
      <c r="C23" s="21">
        <f>Raw_Data!C23</f>
        <v>0</v>
      </c>
      <c r="D23" s="35">
        <f>Raw_Data!E23</f>
        <v>502.33963499999999</v>
      </c>
      <c r="E23" s="35">
        <f>Step3_Lq_Coefs!$D$4*Step1_Features!D24+Step3_Lq_Coefs!$D$5*Step1_Features!E24+Step3_Lq_Coefs!$D$6*Step1_Features!F24+Step3_Lq_Coefs!$D$7*Step1_Features!G24+Step3_Lq_Coefs!$D$8*Step1_Features!H24+Step3_Lq_Coefs!$D$9*Step1_Features!I24+Step3_Lq_Coefs!$D$10*Step1_Features!J24+Step3_Lq_Coefs!$D$11*Step1_Features!K24+Step3_Lq_Coefs!$D$12*Step1_Features!L24+Step3_Lq_Coefs!$D$13*Step1_Features!M24+Step3_Lq_Coefs!$D$14*Step1_Features!N24+Step3_Lq_Coefs!$D$15*Step1_Features!O24+Step3_Lq_Coefs!$D$16*Step1_Features!P24+Step3_Lq_Coefs!$D$17*Step1_Features!Q24+Step3_Lq_Coefs!$D$18*Step1_Features!R24</f>
        <v>502.05607888396383</v>
      </c>
      <c r="F23" s="35">
        <f t="shared" si="0"/>
        <v>0.28355611603615216</v>
      </c>
      <c r="G23" s="52">
        <f t="shared" si="1"/>
        <v>8.0404070941507783E-2</v>
      </c>
      <c r="H23" s="35">
        <f t="shared" si="2"/>
        <v>5.6447092022940251E-2</v>
      </c>
    </row>
    <row r="24" spans="1:8" ht="15" customHeight="1" x14ac:dyDescent="0.25">
      <c r="A24" s="16">
        <v>22</v>
      </c>
      <c r="B24" s="21">
        <f>Raw_Data!B24</f>
        <v>0</v>
      </c>
      <c r="C24" s="21">
        <f>Raw_Data!C24</f>
        <v>30.841066000000001</v>
      </c>
      <c r="D24" s="25">
        <f>Raw_Data!E24</f>
        <v>489.59395699999999</v>
      </c>
      <c r="E24" s="25">
        <f>Step3_Lq_Coefs!$D$4*Step1_Features!D25+Step3_Lq_Coefs!$D$5*Step1_Features!E25+Step3_Lq_Coefs!$D$6*Step1_Features!F25+Step3_Lq_Coefs!$D$7*Step1_Features!G25+Step3_Lq_Coefs!$D$8*Step1_Features!H25+Step3_Lq_Coefs!$D$9*Step1_Features!I25+Step3_Lq_Coefs!$D$10*Step1_Features!J25+Step3_Lq_Coefs!$D$11*Step1_Features!K25+Step3_Lq_Coefs!$D$12*Step1_Features!L25+Step3_Lq_Coefs!$D$13*Step1_Features!M25+Step3_Lq_Coefs!$D$14*Step1_Features!N25+Step3_Lq_Coefs!$D$15*Step1_Features!O25+Step3_Lq_Coefs!$D$16*Step1_Features!P25+Step3_Lq_Coefs!$D$17*Step1_Features!Q25+Step3_Lq_Coefs!$D$18*Step1_Features!R25</f>
        <v>489.17955001090303</v>
      </c>
      <c r="F24" s="35">
        <f t="shared" si="0"/>
        <v>0.41440698909696039</v>
      </c>
      <c r="G24" s="17">
        <f t="shared" si="1"/>
        <v>0.17173315261240824</v>
      </c>
      <c r="H24" s="25">
        <f t="shared" si="2"/>
        <v>8.4642995112981026E-2</v>
      </c>
    </row>
    <row r="25" spans="1:8" ht="15" customHeight="1" x14ac:dyDescent="0.25">
      <c r="A25" s="49">
        <v>23</v>
      </c>
      <c r="B25" s="21">
        <f>Raw_Data!B25</f>
        <v>-7.9822550000000003</v>
      </c>
      <c r="C25" s="21">
        <f>Raw_Data!C25</f>
        <v>29.790182000000001</v>
      </c>
      <c r="D25" s="35">
        <f>Raw_Data!E25</f>
        <v>492.92084299999999</v>
      </c>
      <c r="E25" s="35">
        <f>Step3_Lq_Coefs!$D$4*Step1_Features!D26+Step3_Lq_Coefs!$D$5*Step1_Features!E26+Step3_Lq_Coefs!$D$6*Step1_Features!F26+Step3_Lq_Coefs!$D$7*Step1_Features!G26+Step3_Lq_Coefs!$D$8*Step1_Features!H26+Step3_Lq_Coefs!$D$9*Step1_Features!I26+Step3_Lq_Coefs!$D$10*Step1_Features!J26+Step3_Lq_Coefs!$D$11*Step1_Features!K26+Step3_Lq_Coefs!$D$12*Step1_Features!L26+Step3_Lq_Coefs!$D$13*Step1_Features!M26+Step3_Lq_Coefs!$D$14*Step1_Features!N26+Step3_Lq_Coefs!$D$15*Step1_Features!O26+Step3_Lq_Coefs!$D$16*Step1_Features!P26+Step3_Lq_Coefs!$D$17*Step1_Features!Q26+Step3_Lq_Coefs!$D$18*Step1_Features!R26</f>
        <v>492.33944581503545</v>
      </c>
      <c r="F25" s="35">
        <f t="shared" si="0"/>
        <v>0.58139718496454407</v>
      </c>
      <c r="G25" s="52">
        <f t="shared" si="1"/>
        <v>0.33802268668469626</v>
      </c>
      <c r="H25" s="35">
        <f t="shared" si="2"/>
        <v>0.11794940165769051</v>
      </c>
    </row>
    <row r="26" spans="1:8" ht="15" customHeight="1" x14ac:dyDescent="0.25">
      <c r="A26" s="16">
        <v>24</v>
      </c>
      <c r="B26" s="21">
        <f>Raw_Data!B26</f>
        <v>-15.420533000000001</v>
      </c>
      <c r="C26" s="21">
        <f>Raw_Data!C26</f>
        <v>26.709147000000002</v>
      </c>
      <c r="D26" s="25">
        <f>Raw_Data!E26</f>
        <v>494.78804300000002</v>
      </c>
      <c r="E26" s="25">
        <f>Step3_Lq_Coefs!$D$4*Step1_Features!D27+Step3_Lq_Coefs!$D$5*Step1_Features!E27+Step3_Lq_Coefs!$D$6*Step1_Features!F27+Step3_Lq_Coefs!$D$7*Step1_Features!G27+Step3_Lq_Coefs!$D$8*Step1_Features!H27+Step3_Lq_Coefs!$D$9*Step1_Features!I27+Step3_Lq_Coefs!$D$10*Step1_Features!J27+Step3_Lq_Coefs!$D$11*Step1_Features!K27+Step3_Lq_Coefs!$D$12*Step1_Features!L27+Step3_Lq_Coefs!$D$13*Step1_Features!M27+Step3_Lq_Coefs!$D$14*Step1_Features!N27+Step3_Lq_Coefs!$D$15*Step1_Features!O27+Step3_Lq_Coefs!$D$16*Step1_Features!P27+Step3_Lq_Coefs!$D$17*Step1_Features!Q27+Step3_Lq_Coefs!$D$18*Step1_Features!R27</f>
        <v>495.15375774770939</v>
      </c>
      <c r="F26" s="35">
        <f t="shared" si="0"/>
        <v>-0.36571474770937584</v>
      </c>
      <c r="G26" s="17">
        <f t="shared" si="1"/>
        <v>0.13374727669213243</v>
      </c>
      <c r="H26" s="25">
        <f t="shared" si="2"/>
        <v>-7.3913416640380661E-2</v>
      </c>
    </row>
    <row r="27" spans="1:8" ht="15" customHeight="1" x14ac:dyDescent="0.25">
      <c r="A27" s="49">
        <v>25</v>
      </c>
      <c r="B27" s="21">
        <f>Raw_Data!B27</f>
        <v>-21.807926999999999</v>
      </c>
      <c r="C27" s="21">
        <f>Raw_Data!C27</f>
        <v>21.807926999999999</v>
      </c>
      <c r="D27" s="35">
        <f>Raw_Data!E27</f>
        <v>497.068625</v>
      </c>
      <c r="E27" s="35">
        <f>Step3_Lq_Coefs!$D$4*Step1_Features!D28+Step3_Lq_Coefs!$D$5*Step1_Features!E28+Step3_Lq_Coefs!$D$6*Step1_Features!F28+Step3_Lq_Coefs!$D$7*Step1_Features!G28+Step3_Lq_Coefs!$D$8*Step1_Features!H28+Step3_Lq_Coefs!$D$9*Step1_Features!I28+Step3_Lq_Coefs!$D$10*Step1_Features!J28+Step3_Lq_Coefs!$D$11*Step1_Features!K28+Step3_Lq_Coefs!$D$12*Step1_Features!L28+Step3_Lq_Coefs!$D$13*Step1_Features!M28+Step3_Lq_Coefs!$D$14*Step1_Features!N28+Step3_Lq_Coefs!$D$15*Step1_Features!O28+Step3_Lq_Coefs!$D$16*Step1_Features!P28+Step3_Lq_Coefs!$D$17*Step1_Features!Q28+Step3_Lq_Coefs!$D$18*Step1_Features!R28</f>
        <v>497.56112828021168</v>
      </c>
      <c r="F27" s="35">
        <f t="shared" si="0"/>
        <v>-0.49250328021167888</v>
      </c>
      <c r="G27" s="52">
        <f t="shared" si="1"/>
        <v>0.2425594810192635</v>
      </c>
      <c r="H27" s="35">
        <f t="shared" si="2"/>
        <v>-9.9081546378365554E-2</v>
      </c>
    </row>
    <row r="28" spans="1:8" ht="15" customHeight="1" x14ac:dyDescent="0.25">
      <c r="A28" s="16">
        <v>26</v>
      </c>
      <c r="B28" s="21">
        <f>Raw_Data!B28</f>
        <v>-26.709147000000002</v>
      </c>
      <c r="C28" s="21">
        <f>Raw_Data!C28</f>
        <v>15.420533000000001</v>
      </c>
      <c r="D28" s="25">
        <f>Raw_Data!E28</f>
        <v>499.251668</v>
      </c>
      <c r="E28" s="25">
        <f>Step3_Lq_Coefs!$D$4*Step1_Features!D29+Step3_Lq_Coefs!$D$5*Step1_Features!E29+Step3_Lq_Coefs!$D$6*Step1_Features!F29+Step3_Lq_Coefs!$D$7*Step1_Features!G29+Step3_Lq_Coefs!$D$8*Step1_Features!H29+Step3_Lq_Coefs!$D$9*Step1_Features!I29+Step3_Lq_Coefs!$D$10*Step1_Features!J29+Step3_Lq_Coefs!$D$11*Step1_Features!K29+Step3_Lq_Coefs!$D$12*Step1_Features!L29+Step3_Lq_Coefs!$D$13*Step1_Features!M29+Step3_Lq_Coefs!$D$14*Step1_Features!N29+Step3_Lq_Coefs!$D$15*Step1_Features!O29+Step3_Lq_Coefs!$D$16*Step1_Features!P29+Step3_Lq_Coefs!$D$17*Step1_Features!Q29+Step3_Lq_Coefs!$D$18*Step1_Features!R29</f>
        <v>499.56468226719744</v>
      </c>
      <c r="F28" s="35">
        <f t="shared" si="0"/>
        <v>-0.31301426719744541</v>
      </c>
      <c r="G28" s="17">
        <f t="shared" si="1"/>
        <v>9.7977931469153748E-2</v>
      </c>
      <c r="H28" s="25">
        <f t="shared" si="2"/>
        <v>-6.2696689317309484E-2</v>
      </c>
    </row>
    <row r="29" spans="1:8" ht="15" customHeight="1" x14ac:dyDescent="0.25">
      <c r="A29" s="49">
        <v>27</v>
      </c>
      <c r="B29" s="21">
        <f>Raw_Data!B29</f>
        <v>-29.790182000000001</v>
      </c>
      <c r="C29" s="21">
        <f>Raw_Data!C29</f>
        <v>7.9822550000000003</v>
      </c>
      <c r="D29" s="35">
        <f>Raw_Data!E29</f>
        <v>501.07985000000002</v>
      </c>
      <c r="E29" s="35">
        <f>Step3_Lq_Coefs!$D$4*Step1_Features!D30+Step3_Lq_Coefs!$D$5*Step1_Features!E30+Step3_Lq_Coefs!$D$6*Step1_Features!F30+Step3_Lq_Coefs!$D$7*Step1_Features!G30+Step3_Lq_Coefs!$D$8*Step1_Features!H30+Step3_Lq_Coefs!$D$9*Step1_Features!I30+Step3_Lq_Coefs!$D$10*Step1_Features!J30+Step3_Lq_Coefs!$D$11*Step1_Features!K30+Step3_Lq_Coefs!$D$12*Step1_Features!L30+Step3_Lq_Coefs!$D$13*Step1_Features!M30+Step3_Lq_Coefs!$D$14*Step1_Features!N30+Step3_Lq_Coefs!$D$15*Step1_Features!O30+Step3_Lq_Coefs!$D$16*Step1_Features!P30+Step3_Lq_Coefs!$D$17*Step1_Features!Q30+Step3_Lq_Coefs!$D$18*Step1_Features!R30</f>
        <v>501.10086506281209</v>
      </c>
      <c r="F29" s="35">
        <f t="shared" si="0"/>
        <v>-2.1015062812068663E-2</v>
      </c>
      <c r="G29" s="52">
        <f t="shared" si="1"/>
        <v>4.4163286499519127E-4</v>
      </c>
      <c r="H29" s="35">
        <f t="shared" si="2"/>
        <v>-4.193954878063579E-3</v>
      </c>
    </row>
    <row r="30" spans="1:8" ht="15" customHeight="1" x14ac:dyDescent="0.25">
      <c r="A30" s="16">
        <v>28</v>
      </c>
      <c r="B30" s="21">
        <f>Raw_Data!B30</f>
        <v>-30.841066000000001</v>
      </c>
      <c r="C30" s="21">
        <f>Raw_Data!C30</f>
        <v>0</v>
      </c>
      <c r="D30" s="25">
        <f>Raw_Data!E30</f>
        <v>502.18698799999999</v>
      </c>
      <c r="E30" s="25">
        <f>Step3_Lq_Coefs!$D$4*Step1_Features!D31+Step3_Lq_Coefs!$D$5*Step1_Features!E31+Step3_Lq_Coefs!$D$6*Step1_Features!F31+Step3_Lq_Coefs!$D$7*Step1_Features!G31+Step3_Lq_Coefs!$D$8*Step1_Features!H31+Step3_Lq_Coefs!$D$9*Step1_Features!I31+Step3_Lq_Coefs!$D$10*Step1_Features!J31+Step3_Lq_Coefs!$D$11*Step1_Features!K31+Step3_Lq_Coefs!$D$12*Step1_Features!L31+Step3_Lq_Coefs!$D$13*Step1_Features!M31+Step3_Lq_Coefs!$D$14*Step1_Features!N31+Step3_Lq_Coefs!$D$15*Step1_Features!O31+Step3_Lq_Coefs!$D$16*Step1_Features!P31+Step3_Lq_Coefs!$D$17*Step1_Features!Q31+Step3_Lq_Coefs!$D$18*Step1_Features!R31</f>
        <v>501.94781131027469</v>
      </c>
      <c r="F30" s="35">
        <f t="shared" si="0"/>
        <v>0.23917668972529782</v>
      </c>
      <c r="G30" s="17">
        <f t="shared" si="1"/>
        <v>5.7205488907951386E-2</v>
      </c>
      <c r="H30" s="25">
        <f t="shared" si="2"/>
        <v>4.7627018509148994E-2</v>
      </c>
    </row>
    <row r="31" spans="1:8" ht="15" customHeight="1" x14ac:dyDescent="0.25">
      <c r="A31" s="49">
        <v>29</v>
      </c>
      <c r="B31" s="21">
        <f>Raw_Data!B31</f>
        <v>0</v>
      </c>
      <c r="C31" s="21">
        <f>Raw_Data!C31</f>
        <v>41.121420999999998</v>
      </c>
      <c r="D31" s="35">
        <f>Raw_Data!E31</f>
        <v>483.59867100000002</v>
      </c>
      <c r="E31" s="35">
        <f>Step3_Lq_Coefs!$D$4*Step1_Features!D32+Step3_Lq_Coefs!$D$5*Step1_Features!E32+Step3_Lq_Coefs!$D$6*Step1_Features!F32+Step3_Lq_Coefs!$D$7*Step1_Features!G32+Step3_Lq_Coefs!$D$8*Step1_Features!H32+Step3_Lq_Coefs!$D$9*Step1_Features!I32+Step3_Lq_Coefs!$D$10*Step1_Features!J32+Step3_Lq_Coefs!$D$11*Step1_Features!K32+Step3_Lq_Coefs!$D$12*Step1_Features!L32+Step3_Lq_Coefs!$D$13*Step1_Features!M32+Step3_Lq_Coefs!$D$14*Step1_Features!N32+Step3_Lq_Coefs!$D$15*Step1_Features!O32+Step3_Lq_Coefs!$D$16*Step1_Features!P32+Step3_Lq_Coefs!$D$17*Step1_Features!Q32+Step3_Lq_Coefs!$D$18*Step1_Features!R32</f>
        <v>483.69587077614375</v>
      </c>
      <c r="F31" s="35">
        <f t="shared" si="0"/>
        <v>-9.7199776143725103E-2</v>
      </c>
      <c r="G31" s="52">
        <f t="shared" si="1"/>
        <v>9.4477964823902714E-3</v>
      </c>
      <c r="H31" s="35">
        <f t="shared" si="2"/>
        <v>-2.0099264529146132E-2</v>
      </c>
    </row>
    <row r="32" spans="1:8" ht="15" customHeight="1" x14ac:dyDescent="0.25">
      <c r="A32" s="16">
        <v>30</v>
      </c>
      <c r="B32" s="21">
        <f>Raw_Data!B32</f>
        <v>-10.643007000000001</v>
      </c>
      <c r="C32" s="21">
        <f>Raw_Data!C32</f>
        <v>39.720243000000004</v>
      </c>
      <c r="D32" s="25">
        <f>Raw_Data!E32</f>
        <v>489.60965299999998</v>
      </c>
      <c r="E32" s="25">
        <f>Step3_Lq_Coefs!$D$4*Step1_Features!D33+Step3_Lq_Coefs!$D$5*Step1_Features!E33+Step3_Lq_Coefs!$D$6*Step1_Features!F33+Step3_Lq_Coefs!$D$7*Step1_Features!G33+Step3_Lq_Coefs!$D$8*Step1_Features!H33+Step3_Lq_Coefs!$D$9*Step1_Features!I33+Step3_Lq_Coefs!$D$10*Step1_Features!J33+Step3_Lq_Coefs!$D$11*Step1_Features!K33+Step3_Lq_Coefs!$D$12*Step1_Features!L33+Step3_Lq_Coefs!$D$13*Step1_Features!M33+Step3_Lq_Coefs!$D$14*Step1_Features!N33+Step3_Lq_Coefs!$D$15*Step1_Features!O33+Step3_Lq_Coefs!$D$16*Step1_Features!P33+Step3_Lq_Coefs!$D$17*Step1_Features!Q33+Step3_Lq_Coefs!$D$18*Step1_Features!R33</f>
        <v>488.53324019410502</v>
      </c>
      <c r="F32" s="35">
        <f t="shared" si="0"/>
        <v>1.0764128058949609</v>
      </c>
      <c r="G32" s="17">
        <f t="shared" si="1"/>
        <v>1.1586645286946629</v>
      </c>
      <c r="H32" s="25">
        <f t="shared" si="2"/>
        <v>0.21985122215206018</v>
      </c>
    </row>
    <row r="33" spans="1:8" ht="15" customHeight="1" x14ac:dyDescent="0.25">
      <c r="A33" s="49">
        <v>31</v>
      </c>
      <c r="B33" s="21">
        <f>Raw_Data!B33</f>
        <v>-20.560711000000001</v>
      </c>
      <c r="C33" s="21">
        <f>Raw_Data!C33</f>
        <v>35.612195999999997</v>
      </c>
      <c r="D33" s="35">
        <f>Raw_Data!E33</f>
        <v>492.21341799999999</v>
      </c>
      <c r="E33" s="35">
        <f>Step3_Lq_Coefs!$D$4*Step1_Features!D34+Step3_Lq_Coefs!$D$5*Step1_Features!E34+Step3_Lq_Coefs!$D$6*Step1_Features!F34+Step3_Lq_Coefs!$D$7*Step1_Features!G34+Step3_Lq_Coefs!$D$8*Step1_Features!H34+Step3_Lq_Coefs!$D$9*Step1_Features!I34+Step3_Lq_Coefs!$D$10*Step1_Features!J34+Step3_Lq_Coefs!$D$11*Step1_Features!K34+Step3_Lq_Coefs!$D$12*Step1_Features!L34+Step3_Lq_Coefs!$D$13*Step1_Features!M34+Step3_Lq_Coefs!$D$14*Step1_Features!N34+Step3_Lq_Coefs!$D$15*Step1_Features!O34+Step3_Lq_Coefs!$D$16*Step1_Features!P34+Step3_Lq_Coefs!$D$17*Step1_Features!Q34+Step3_Lq_Coefs!$D$18*Step1_Features!R34</f>
        <v>492.47355734984927</v>
      </c>
      <c r="F33" s="35">
        <f t="shared" si="0"/>
        <v>-0.26013934984928255</v>
      </c>
      <c r="G33" s="52">
        <f t="shared" si="1"/>
        <v>6.7672481340007418E-2</v>
      </c>
      <c r="H33" s="35">
        <f t="shared" si="2"/>
        <v>-5.2850926109714993E-2</v>
      </c>
    </row>
    <row r="34" spans="1:8" ht="15" customHeight="1" x14ac:dyDescent="0.25">
      <c r="A34" s="16">
        <v>32</v>
      </c>
      <c r="B34" s="21">
        <f>Raw_Data!B34</f>
        <v>-29.077235999999999</v>
      </c>
      <c r="C34" s="21">
        <f>Raw_Data!C34</f>
        <v>29.077235999999999</v>
      </c>
      <c r="D34" s="25">
        <f>Raw_Data!E34</f>
        <v>494.95704799999999</v>
      </c>
      <c r="E34" s="25">
        <f>Step3_Lq_Coefs!$D$4*Step1_Features!D35+Step3_Lq_Coefs!$D$5*Step1_Features!E35+Step3_Lq_Coefs!$D$6*Step1_Features!F35+Step3_Lq_Coefs!$D$7*Step1_Features!G35+Step3_Lq_Coefs!$D$8*Step1_Features!H35+Step3_Lq_Coefs!$D$9*Step1_Features!I35+Step3_Lq_Coefs!$D$10*Step1_Features!J35+Step3_Lq_Coefs!$D$11*Step1_Features!K35+Step3_Lq_Coefs!$D$12*Step1_Features!L35+Step3_Lq_Coefs!$D$13*Step1_Features!M35+Step3_Lq_Coefs!$D$14*Step1_Features!N35+Step3_Lq_Coefs!$D$15*Step1_Features!O35+Step3_Lq_Coefs!$D$16*Step1_Features!P35+Step3_Lq_Coefs!$D$17*Step1_Features!Q35+Step3_Lq_Coefs!$D$18*Step1_Features!R35</f>
        <v>495.59819548045419</v>
      </c>
      <c r="F34" s="35">
        <f t="shared" si="0"/>
        <v>-0.64114748045420811</v>
      </c>
      <c r="G34" s="17">
        <f t="shared" si="1"/>
        <v>0.41107009169277919</v>
      </c>
      <c r="H34" s="25">
        <f t="shared" si="2"/>
        <v>-0.12953598358583393</v>
      </c>
    </row>
    <row r="35" spans="1:8" ht="15" customHeight="1" x14ac:dyDescent="0.25">
      <c r="A35" s="49">
        <v>33</v>
      </c>
      <c r="B35" s="21">
        <f>Raw_Data!B35</f>
        <v>-35.612195999999997</v>
      </c>
      <c r="C35" s="21">
        <f>Raw_Data!C35</f>
        <v>20.560711000000001</v>
      </c>
      <c r="D35" s="35">
        <f>Raw_Data!E35</f>
        <v>497.95879300000001</v>
      </c>
      <c r="E35" s="35">
        <f>Step3_Lq_Coefs!$D$4*Step1_Features!D36+Step3_Lq_Coefs!$D$5*Step1_Features!E36+Step3_Lq_Coefs!$D$6*Step1_Features!F36+Step3_Lq_Coefs!$D$7*Step1_Features!G36+Step3_Lq_Coefs!$D$8*Step1_Features!H36+Step3_Lq_Coefs!$D$9*Step1_Features!I36+Step3_Lq_Coefs!$D$10*Step1_Features!J36+Step3_Lq_Coefs!$D$11*Step1_Features!K36+Step3_Lq_Coefs!$D$12*Step1_Features!L36+Step3_Lq_Coefs!$D$13*Step1_Features!M36+Step3_Lq_Coefs!$D$14*Step1_Features!N36+Step3_Lq_Coefs!$D$15*Step1_Features!O36+Step3_Lq_Coefs!$D$16*Step1_Features!P36+Step3_Lq_Coefs!$D$17*Step1_Features!Q36+Step3_Lq_Coefs!$D$18*Step1_Features!R36</f>
        <v>498.12450454085763</v>
      </c>
      <c r="F35" s="35">
        <f t="shared" ref="F35:F66" si="3">D35-E35</f>
        <v>-0.16571154085761464</v>
      </c>
      <c r="G35" s="52">
        <f t="shared" ref="G35:G66" si="4">F35^2</f>
        <v>2.7460314773404885E-2</v>
      </c>
      <c r="H35" s="35">
        <f t="shared" ref="H35:H66" si="5">F35/D35*100</f>
        <v>-3.3278163411729254E-2</v>
      </c>
    </row>
    <row r="36" spans="1:8" ht="15" customHeight="1" x14ac:dyDescent="0.25">
      <c r="A36" s="16">
        <v>34</v>
      </c>
      <c r="B36" s="21">
        <f>Raw_Data!B36</f>
        <v>-39.720243000000004</v>
      </c>
      <c r="C36" s="21">
        <f>Raw_Data!C36</f>
        <v>10.643007000000001</v>
      </c>
      <c r="D36" s="25">
        <f>Raw_Data!E36</f>
        <v>500.26665000000003</v>
      </c>
      <c r="E36" s="25">
        <f>Step3_Lq_Coefs!$D$4*Step1_Features!D37+Step3_Lq_Coefs!$D$5*Step1_Features!E37+Step3_Lq_Coefs!$D$6*Step1_Features!F37+Step3_Lq_Coefs!$D$7*Step1_Features!G37+Step3_Lq_Coefs!$D$8*Step1_Features!H37+Step3_Lq_Coefs!$D$9*Step1_Features!I37+Step3_Lq_Coefs!$D$10*Step1_Features!J37+Step3_Lq_Coefs!$D$11*Step1_Features!K37+Step3_Lq_Coefs!$D$12*Step1_Features!L37+Step3_Lq_Coefs!$D$13*Step1_Features!M37+Step3_Lq_Coefs!$D$14*Step1_Features!N37+Step3_Lq_Coefs!$D$15*Step1_Features!O37+Step3_Lq_Coefs!$D$16*Step1_Features!P37+Step3_Lq_Coefs!$D$17*Step1_Features!Q37+Step3_Lq_Coefs!$D$18*Step1_Features!R37</f>
        <v>500.11641525023617</v>
      </c>
      <c r="F36" s="35">
        <f t="shared" si="3"/>
        <v>0.15023474976385387</v>
      </c>
      <c r="G36" s="17">
        <f t="shared" si="4"/>
        <v>2.257048003660779E-2</v>
      </c>
      <c r="H36" s="25">
        <f t="shared" si="5"/>
        <v>3.0030934455425692E-2</v>
      </c>
    </row>
    <row r="37" spans="1:8" ht="15" customHeight="1" x14ac:dyDescent="0.25">
      <c r="A37" s="49">
        <v>35</v>
      </c>
      <c r="B37" s="21">
        <f>Raw_Data!B37</f>
        <v>-41.121420999999998</v>
      </c>
      <c r="C37" s="21">
        <f>Raw_Data!C37</f>
        <v>0</v>
      </c>
      <c r="D37" s="35">
        <f>Raw_Data!E37</f>
        <v>501.52742999999998</v>
      </c>
      <c r="E37" s="35">
        <f>Step3_Lq_Coefs!$D$4*Step1_Features!D38+Step3_Lq_Coefs!$D$5*Step1_Features!E38+Step3_Lq_Coefs!$D$6*Step1_Features!F38+Step3_Lq_Coefs!$D$7*Step1_Features!G38+Step3_Lq_Coefs!$D$8*Step1_Features!H38+Step3_Lq_Coefs!$D$9*Step1_Features!I38+Step3_Lq_Coefs!$D$10*Step1_Features!J38+Step3_Lq_Coefs!$D$11*Step1_Features!K38+Step3_Lq_Coefs!$D$12*Step1_Features!L38+Step3_Lq_Coefs!$D$13*Step1_Features!M38+Step3_Lq_Coefs!$D$14*Step1_Features!N38+Step3_Lq_Coefs!$D$15*Step1_Features!O38+Step3_Lq_Coefs!$D$16*Step1_Features!P38+Step3_Lq_Coefs!$D$17*Step1_Features!Q38+Step3_Lq_Coefs!$D$18*Step1_Features!R38</f>
        <v>501.25693597525759</v>
      </c>
      <c r="F37" s="35">
        <f t="shared" si="3"/>
        <v>0.27049402474239059</v>
      </c>
      <c r="G37" s="52">
        <f t="shared" si="4"/>
        <v>7.3167017421337008E-2</v>
      </c>
      <c r="H37" s="35">
        <f t="shared" si="5"/>
        <v>5.3934043994840045E-2</v>
      </c>
    </row>
    <row r="38" spans="1:8" ht="15" customHeight="1" x14ac:dyDescent="0.25">
      <c r="A38" s="16">
        <v>36</v>
      </c>
      <c r="B38" s="21">
        <f>Raw_Data!B38</f>
        <v>0</v>
      </c>
      <c r="C38" s="21">
        <f>Raw_Data!C38</f>
        <v>51.401777000000003</v>
      </c>
      <c r="D38" s="25">
        <f>Raw_Data!E38</f>
        <v>477.22874000000002</v>
      </c>
      <c r="E38" s="25">
        <f>Step3_Lq_Coefs!$D$4*Step1_Features!D39+Step3_Lq_Coefs!$D$5*Step1_Features!E39+Step3_Lq_Coefs!$D$6*Step1_Features!F39+Step3_Lq_Coefs!$D$7*Step1_Features!G39+Step3_Lq_Coefs!$D$8*Step1_Features!H39+Step3_Lq_Coefs!$D$9*Step1_Features!I39+Step3_Lq_Coefs!$D$10*Step1_Features!J39+Step3_Lq_Coefs!$D$11*Step1_Features!K39+Step3_Lq_Coefs!$D$12*Step1_Features!L39+Step3_Lq_Coefs!$D$13*Step1_Features!M39+Step3_Lq_Coefs!$D$14*Step1_Features!N39+Step3_Lq_Coefs!$D$15*Step1_Features!O39+Step3_Lq_Coefs!$D$16*Step1_Features!P39+Step3_Lq_Coefs!$D$17*Step1_Features!Q39+Step3_Lq_Coefs!$D$18*Step1_Features!R39</f>
        <v>477.67478409140273</v>
      </c>
      <c r="F38" s="35">
        <f t="shared" si="3"/>
        <v>-0.44604409140271173</v>
      </c>
      <c r="G38" s="17">
        <f t="shared" si="4"/>
        <v>0.19895533147527064</v>
      </c>
      <c r="H38" s="25">
        <f t="shared" si="5"/>
        <v>-9.3465471380183782E-2</v>
      </c>
    </row>
    <row r="39" spans="1:8" ht="15" customHeight="1" x14ac:dyDescent="0.25">
      <c r="A39" s="49">
        <v>37</v>
      </c>
      <c r="B39" s="21">
        <f>Raw_Data!B39</f>
        <v>-13.303758999999999</v>
      </c>
      <c r="C39" s="21">
        <f>Raw_Data!C39</f>
        <v>49.650303999999998</v>
      </c>
      <c r="D39" s="35">
        <f>Raw_Data!E39</f>
        <v>485.80998699999998</v>
      </c>
      <c r="E39" s="35">
        <f>Step3_Lq_Coefs!$D$4*Step1_Features!D40+Step3_Lq_Coefs!$D$5*Step1_Features!E40+Step3_Lq_Coefs!$D$6*Step1_Features!F40+Step3_Lq_Coefs!$D$7*Step1_Features!G40+Step3_Lq_Coefs!$D$8*Step1_Features!H40+Step3_Lq_Coefs!$D$9*Step1_Features!I40+Step3_Lq_Coefs!$D$10*Step1_Features!J40+Step3_Lq_Coefs!$D$11*Step1_Features!K40+Step3_Lq_Coefs!$D$12*Step1_Features!L40+Step3_Lq_Coefs!$D$13*Step1_Features!M40+Step3_Lq_Coefs!$D$14*Step1_Features!N40+Step3_Lq_Coefs!$D$15*Step1_Features!O40+Step3_Lq_Coefs!$D$16*Step1_Features!P40+Step3_Lq_Coefs!$D$17*Step1_Features!Q40+Step3_Lq_Coefs!$D$18*Step1_Features!R40</f>
        <v>484.62983792545407</v>
      </c>
      <c r="F39" s="35">
        <f t="shared" si="3"/>
        <v>1.1801490745459091</v>
      </c>
      <c r="G39" s="52">
        <f t="shared" si="4"/>
        <v>1.3927518381515658</v>
      </c>
      <c r="H39" s="35">
        <f t="shared" si="5"/>
        <v>0.24292400447212484</v>
      </c>
    </row>
    <row r="40" spans="1:8" ht="15" customHeight="1" x14ac:dyDescent="0.25">
      <c r="A40" s="16">
        <v>38</v>
      </c>
      <c r="B40" s="21">
        <f>Raw_Data!B40</f>
        <v>-25.700887999999999</v>
      </c>
      <c r="C40" s="21">
        <f>Raw_Data!C40</f>
        <v>44.515244000000003</v>
      </c>
      <c r="D40" s="25">
        <f>Raw_Data!E40</f>
        <v>489.64348100000001</v>
      </c>
      <c r="E40" s="25">
        <f>Step3_Lq_Coefs!$D$4*Step1_Features!D41+Step3_Lq_Coefs!$D$5*Step1_Features!E41+Step3_Lq_Coefs!$D$6*Step1_Features!F41+Step3_Lq_Coefs!$D$7*Step1_Features!G41+Step3_Lq_Coefs!$D$8*Step1_Features!H41+Step3_Lq_Coefs!$D$9*Step1_Features!I41+Step3_Lq_Coefs!$D$10*Step1_Features!J41+Step3_Lq_Coefs!$D$11*Step1_Features!K41+Step3_Lq_Coefs!$D$12*Step1_Features!L41+Step3_Lq_Coefs!$D$13*Step1_Features!M41+Step3_Lq_Coefs!$D$14*Step1_Features!N41+Step3_Lq_Coefs!$D$15*Step1_Features!O41+Step3_Lq_Coefs!$D$16*Step1_Features!P41+Step3_Lq_Coefs!$D$17*Step1_Features!Q41+Step3_Lq_Coefs!$D$18*Step1_Features!R41</f>
        <v>489.81772265600671</v>
      </c>
      <c r="F40" s="35">
        <f t="shared" si="3"/>
        <v>-0.17424165600669994</v>
      </c>
      <c r="G40" s="17">
        <f t="shared" si="4"/>
        <v>3.0360154687957153E-2</v>
      </c>
      <c r="H40" s="25">
        <f t="shared" si="5"/>
        <v>-3.5585413217561028E-2</v>
      </c>
    </row>
    <row r="41" spans="1:8" ht="15" customHeight="1" x14ac:dyDescent="0.25">
      <c r="A41" s="49">
        <v>39</v>
      </c>
      <c r="B41" s="21">
        <f>Raw_Data!B41</f>
        <v>-36.346544999999999</v>
      </c>
      <c r="C41" s="21">
        <f>Raw_Data!C41</f>
        <v>36.346544999999999</v>
      </c>
      <c r="D41" s="35">
        <f>Raw_Data!E41</f>
        <v>492.77591699999999</v>
      </c>
      <c r="E41" s="35">
        <f>Step3_Lq_Coefs!$D$4*Step1_Features!D42+Step3_Lq_Coefs!$D$5*Step1_Features!E42+Step3_Lq_Coefs!$D$6*Step1_Features!F42+Step3_Lq_Coefs!$D$7*Step1_Features!G42+Step3_Lq_Coefs!$D$8*Step1_Features!H42+Step3_Lq_Coefs!$D$9*Step1_Features!I42+Step3_Lq_Coefs!$D$10*Step1_Features!J42+Step3_Lq_Coefs!$D$11*Step1_Features!K42+Step3_Lq_Coefs!$D$12*Step1_Features!L42+Step3_Lq_Coefs!$D$13*Step1_Features!M42+Step3_Lq_Coefs!$D$14*Step1_Features!N42+Step3_Lq_Coefs!$D$15*Step1_Features!O42+Step3_Lq_Coefs!$D$16*Step1_Features!P42+Step3_Lq_Coefs!$D$17*Step1_Features!Q42+Step3_Lq_Coefs!$D$18*Step1_Features!R42</f>
        <v>493.58631423691759</v>
      </c>
      <c r="F41" s="35">
        <f t="shared" si="3"/>
        <v>-0.81039723691759491</v>
      </c>
      <c r="G41" s="52">
        <f t="shared" si="4"/>
        <v>0.65674368160367247</v>
      </c>
      <c r="H41" s="35">
        <f t="shared" si="5"/>
        <v>-0.16445552815390427</v>
      </c>
    </row>
    <row r="42" spans="1:8" ht="15" customHeight="1" x14ac:dyDescent="0.25">
      <c r="A42" s="16">
        <v>40</v>
      </c>
      <c r="B42" s="21">
        <f>Raw_Data!B42</f>
        <v>-44.515244000000003</v>
      </c>
      <c r="C42" s="21">
        <f>Raw_Data!C42</f>
        <v>25.700887999999999</v>
      </c>
      <c r="D42" s="25">
        <f>Raw_Data!E42</f>
        <v>496.31894</v>
      </c>
      <c r="E42" s="25">
        <f>Step3_Lq_Coefs!$D$4*Step1_Features!D43+Step3_Lq_Coefs!$D$5*Step1_Features!E43+Step3_Lq_Coefs!$D$6*Step1_Features!F43+Step3_Lq_Coefs!$D$7*Step1_Features!G43+Step3_Lq_Coefs!$D$8*Step1_Features!H43+Step3_Lq_Coefs!$D$9*Step1_Features!I43+Step3_Lq_Coefs!$D$10*Step1_Features!J43+Step3_Lq_Coefs!$D$11*Step1_Features!K43+Step3_Lq_Coefs!$D$12*Step1_Features!L43+Step3_Lq_Coefs!$D$13*Step1_Features!M43+Step3_Lq_Coefs!$D$14*Step1_Features!N43+Step3_Lq_Coefs!$D$15*Step1_Features!O43+Step3_Lq_Coefs!$D$16*Step1_Features!P43+Step3_Lq_Coefs!$D$17*Step1_Features!Q43+Step3_Lq_Coefs!$D$18*Step1_Features!R43</f>
        <v>496.49941695555981</v>
      </c>
      <c r="F42" s="35">
        <f t="shared" si="3"/>
        <v>-0.18047695555981136</v>
      </c>
      <c r="G42" s="17">
        <f t="shared" si="4"/>
        <v>3.2571931488138126E-2</v>
      </c>
      <c r="H42" s="25">
        <f t="shared" si="5"/>
        <v>-3.636310062231584E-2</v>
      </c>
    </row>
    <row r="43" spans="1:8" ht="15" customHeight="1" x14ac:dyDescent="0.25">
      <c r="A43" s="49">
        <v>41</v>
      </c>
      <c r="B43" s="21">
        <f>Raw_Data!B43</f>
        <v>-49.650303999999998</v>
      </c>
      <c r="C43" s="21">
        <f>Raw_Data!C43</f>
        <v>13.303758999999999</v>
      </c>
      <c r="D43" s="35">
        <f>Raw_Data!E43</f>
        <v>499.23109699999998</v>
      </c>
      <c r="E43" s="35">
        <f>Step3_Lq_Coefs!$D$4*Step1_Features!D44+Step3_Lq_Coefs!$D$5*Step1_Features!E44+Step3_Lq_Coefs!$D$6*Step1_Features!F44+Step3_Lq_Coefs!$D$7*Step1_Features!G44+Step3_Lq_Coefs!$D$8*Step1_Features!H44+Step3_Lq_Coefs!$D$9*Step1_Features!I44+Step3_Lq_Coefs!$D$10*Step1_Features!J44+Step3_Lq_Coefs!$D$11*Step1_Features!K44+Step3_Lq_Coefs!$D$12*Step1_Features!L44+Step3_Lq_Coefs!$D$13*Step1_Features!M44+Step3_Lq_Coefs!$D$14*Step1_Features!N44+Step3_Lq_Coefs!$D$15*Step1_Features!O44+Step3_Lq_Coefs!$D$16*Step1_Features!P44+Step3_Lq_Coefs!$D$17*Step1_Features!Q44+Step3_Lq_Coefs!$D$18*Step1_Features!R44</f>
        <v>498.85508709300098</v>
      </c>
      <c r="F43" s="35">
        <f t="shared" si="3"/>
        <v>0.37600990699900194</v>
      </c>
      <c r="G43" s="52">
        <f t="shared" si="4"/>
        <v>0.14138345016139808</v>
      </c>
      <c r="H43" s="35">
        <f t="shared" si="5"/>
        <v>7.5317805573117555E-2</v>
      </c>
    </row>
    <row r="44" spans="1:8" ht="15" customHeight="1" x14ac:dyDescent="0.25">
      <c r="A44" s="16">
        <v>42</v>
      </c>
      <c r="B44" s="21">
        <f>Raw_Data!B44</f>
        <v>-51.401777000000003</v>
      </c>
      <c r="C44" s="21">
        <f>Raw_Data!C44</f>
        <v>0</v>
      </c>
      <c r="D44" s="25">
        <f>Raw_Data!E44</f>
        <v>500.58310299999999</v>
      </c>
      <c r="E44" s="25">
        <f>Step3_Lq_Coefs!$D$4*Step1_Features!D45+Step3_Lq_Coefs!$D$5*Step1_Features!E45+Step3_Lq_Coefs!$D$6*Step1_Features!F45+Step3_Lq_Coefs!$D$7*Step1_Features!G45+Step3_Lq_Coefs!$D$8*Step1_Features!H45+Step3_Lq_Coefs!$D$9*Step1_Features!I45+Step3_Lq_Coefs!$D$10*Step1_Features!J45+Step3_Lq_Coefs!$D$11*Step1_Features!K45+Step3_Lq_Coefs!$D$12*Step1_Features!L45+Step3_Lq_Coefs!$D$13*Step1_Features!M45+Step3_Lq_Coefs!$D$14*Step1_Features!N45+Step3_Lq_Coefs!$D$15*Step1_Features!O45+Step3_Lq_Coefs!$D$16*Step1_Features!P45+Step3_Lq_Coefs!$D$17*Step1_Features!Q45+Step3_Lq_Coefs!$D$18*Step1_Features!R45</f>
        <v>500.26144835770373</v>
      </c>
      <c r="F44" s="35">
        <f t="shared" si="3"/>
        <v>0.3216546422962665</v>
      </c>
      <c r="G44" s="17">
        <f t="shared" si="4"/>
        <v>0.10346170891073915</v>
      </c>
      <c r="H44" s="25">
        <f t="shared" si="5"/>
        <v>6.4255992734989789E-2</v>
      </c>
    </row>
    <row r="45" spans="1:8" ht="15" customHeight="1" x14ac:dyDescent="0.25">
      <c r="A45" s="49">
        <v>43</v>
      </c>
      <c r="B45" s="21">
        <f>Raw_Data!B45</f>
        <v>0</v>
      </c>
      <c r="C45" s="21">
        <f>Raw_Data!C45</f>
        <v>61.682132000000003</v>
      </c>
      <c r="D45" s="35">
        <f>Raw_Data!E45</f>
        <v>470.63282099999998</v>
      </c>
      <c r="E45" s="35">
        <f>Step3_Lq_Coefs!$D$4*Step1_Features!D46+Step3_Lq_Coefs!$D$5*Step1_Features!E46+Step3_Lq_Coefs!$D$6*Step1_Features!F46+Step3_Lq_Coefs!$D$7*Step1_Features!G46+Step3_Lq_Coefs!$D$8*Step1_Features!H46+Step3_Lq_Coefs!$D$9*Step1_Features!I46+Step3_Lq_Coefs!$D$10*Step1_Features!J46+Step3_Lq_Coefs!$D$11*Step1_Features!K46+Step3_Lq_Coefs!$D$12*Step1_Features!L46+Step3_Lq_Coefs!$D$13*Step1_Features!M46+Step3_Lq_Coefs!$D$14*Step1_Features!N46+Step3_Lq_Coefs!$D$15*Step1_Features!O46+Step3_Lq_Coefs!$D$16*Step1_Features!P46+Step3_Lq_Coefs!$D$17*Step1_Features!Q46+Step3_Lq_Coefs!$D$18*Step1_Features!R46</f>
        <v>471.14795985035084</v>
      </c>
      <c r="F45" s="35">
        <f t="shared" si="3"/>
        <v>-0.5151388503508656</v>
      </c>
      <c r="G45" s="52">
        <f t="shared" si="4"/>
        <v>0.26536803514081148</v>
      </c>
      <c r="H45" s="35">
        <f t="shared" si="5"/>
        <v>-0.10945663527169637</v>
      </c>
    </row>
    <row r="46" spans="1:8" ht="15" customHeight="1" x14ac:dyDescent="0.25">
      <c r="A46" s="16">
        <v>44</v>
      </c>
      <c r="B46" s="21">
        <f>Raw_Data!B46</f>
        <v>-15.964511</v>
      </c>
      <c r="C46" s="21">
        <f>Raw_Data!C46</f>
        <v>59.580364000000003</v>
      </c>
      <c r="D46" s="25">
        <f>Raw_Data!E46</f>
        <v>481.92349000000002</v>
      </c>
      <c r="E46" s="25">
        <f>Step3_Lq_Coefs!$D$4*Step1_Features!D47+Step3_Lq_Coefs!$D$5*Step1_Features!E47+Step3_Lq_Coefs!$D$6*Step1_Features!F47+Step3_Lq_Coefs!$D$7*Step1_Features!G47+Step3_Lq_Coefs!$D$8*Step1_Features!H47+Step3_Lq_Coefs!$D$9*Step1_Features!I47+Step3_Lq_Coefs!$D$10*Step1_Features!J47+Step3_Lq_Coefs!$D$11*Step1_Features!K47+Step3_Lq_Coefs!$D$12*Step1_Features!L47+Step3_Lq_Coefs!$D$13*Step1_Features!M47+Step3_Lq_Coefs!$D$14*Step1_Features!N47+Step3_Lq_Coefs!$D$15*Step1_Features!O47+Step3_Lq_Coefs!$D$16*Step1_Features!P47+Step3_Lq_Coefs!$D$17*Step1_Features!Q47+Step3_Lq_Coefs!$D$18*Step1_Features!R47</f>
        <v>480.7056843437216</v>
      </c>
      <c r="F46" s="35">
        <f t="shared" si="3"/>
        <v>1.217805656278415</v>
      </c>
      <c r="G46" s="17">
        <f t="shared" si="4"/>
        <v>1.483050616463701</v>
      </c>
      <c r="H46" s="25">
        <f t="shared" si="5"/>
        <v>0.25269688686028041</v>
      </c>
    </row>
    <row r="47" spans="1:8" ht="15" customHeight="1" x14ac:dyDescent="0.25">
      <c r="A47" s="49">
        <v>45</v>
      </c>
      <c r="B47" s="21">
        <f>Raw_Data!B47</f>
        <v>-30.841066000000001</v>
      </c>
      <c r="C47" s="21">
        <f>Raw_Data!C47</f>
        <v>53.418292999999998</v>
      </c>
      <c r="D47" s="35">
        <f>Raw_Data!E47</f>
        <v>487.54415399999999</v>
      </c>
      <c r="E47" s="35">
        <f>Step3_Lq_Coefs!$D$4*Step1_Features!D48+Step3_Lq_Coefs!$D$5*Step1_Features!E48+Step3_Lq_Coefs!$D$6*Step1_Features!F48+Step3_Lq_Coefs!$D$7*Step1_Features!G48+Step3_Lq_Coefs!$D$8*Step1_Features!H48+Step3_Lq_Coefs!$D$9*Step1_Features!I48+Step3_Lq_Coefs!$D$10*Step1_Features!J48+Step3_Lq_Coefs!$D$11*Step1_Features!K48+Step3_Lq_Coefs!$D$12*Step1_Features!L48+Step3_Lq_Coefs!$D$13*Step1_Features!M48+Step3_Lq_Coefs!$D$14*Step1_Features!N48+Step3_Lq_Coefs!$D$15*Step1_Features!O48+Step3_Lq_Coefs!$D$16*Step1_Features!P48+Step3_Lq_Coefs!$D$17*Step1_Features!Q48+Step3_Lq_Coefs!$D$18*Step1_Features!R48</f>
        <v>487.3146876134665</v>
      </c>
      <c r="F47" s="35">
        <f t="shared" si="3"/>
        <v>0.22946638653348828</v>
      </c>
      <c r="G47" s="52">
        <f t="shared" si="4"/>
        <v>5.2654822548736248E-2</v>
      </c>
      <c r="H47" s="35">
        <f t="shared" si="5"/>
        <v>4.7065765151906282E-2</v>
      </c>
    </row>
    <row r="48" spans="1:8" ht="15" customHeight="1" x14ac:dyDescent="0.25">
      <c r="A48" s="16">
        <v>46</v>
      </c>
      <c r="B48" s="21">
        <f>Raw_Data!B48</f>
        <v>-43.615853999999999</v>
      </c>
      <c r="C48" s="21">
        <f>Raw_Data!C48</f>
        <v>43.615853999999999</v>
      </c>
      <c r="D48" s="25">
        <f>Raw_Data!E48</f>
        <v>490.915412</v>
      </c>
      <c r="E48" s="25">
        <f>Step3_Lq_Coefs!$D$4*Step1_Features!D49+Step3_Lq_Coefs!$D$5*Step1_Features!E49+Step3_Lq_Coefs!$D$6*Step1_Features!F49+Step3_Lq_Coefs!$D$7*Step1_Features!G49+Step3_Lq_Coefs!$D$8*Step1_Features!H49+Step3_Lq_Coefs!$D$9*Step1_Features!I49+Step3_Lq_Coefs!$D$10*Step1_Features!J49+Step3_Lq_Coefs!$D$11*Step1_Features!K49+Step3_Lq_Coefs!$D$12*Step1_Features!L49+Step3_Lq_Coefs!$D$13*Step1_Features!M49+Step3_Lq_Coefs!$D$14*Step1_Features!N49+Step3_Lq_Coefs!$D$15*Step1_Features!O49+Step3_Lq_Coefs!$D$16*Step1_Features!P49+Step3_Lq_Coefs!$D$17*Step1_Features!Q49+Step3_Lq_Coefs!$D$18*Step1_Features!R49</f>
        <v>491.71463221272228</v>
      </c>
      <c r="F48" s="35">
        <f t="shared" si="3"/>
        <v>-0.79922021272227539</v>
      </c>
      <c r="G48" s="17">
        <f t="shared" si="4"/>
        <v>0.63875294842383912</v>
      </c>
      <c r="H48" s="25">
        <f t="shared" si="5"/>
        <v>-0.16280202111932784</v>
      </c>
    </row>
    <row r="49" spans="1:8" ht="15" customHeight="1" x14ac:dyDescent="0.25">
      <c r="A49" s="49">
        <v>47</v>
      </c>
      <c r="B49" s="21">
        <f>Raw_Data!B49</f>
        <v>-53.418292999999998</v>
      </c>
      <c r="C49" s="21">
        <f>Raw_Data!C49</f>
        <v>30.841066000000001</v>
      </c>
      <c r="D49" s="35">
        <f>Raw_Data!E49</f>
        <v>494.79902800000002</v>
      </c>
      <c r="E49" s="35">
        <f>Step3_Lq_Coefs!$D$4*Step1_Features!D50+Step3_Lq_Coefs!$D$5*Step1_Features!E50+Step3_Lq_Coefs!$D$6*Step1_Features!F50+Step3_Lq_Coefs!$D$7*Step1_Features!G50+Step3_Lq_Coefs!$D$8*Step1_Features!H50+Step3_Lq_Coefs!$D$9*Step1_Features!I50+Step3_Lq_Coefs!$D$10*Step1_Features!J50+Step3_Lq_Coefs!$D$11*Step1_Features!K50+Step3_Lq_Coefs!$D$12*Step1_Features!L50+Step3_Lq_Coefs!$D$13*Step1_Features!M50+Step3_Lq_Coefs!$D$14*Step1_Features!N50+Step3_Lq_Coefs!$D$15*Step1_Features!O50+Step3_Lq_Coefs!$D$16*Step1_Features!P50+Step3_Lq_Coefs!$D$17*Step1_Features!Q50+Step3_Lq_Coefs!$D$18*Step1_Features!R50</f>
        <v>494.91505950138054</v>
      </c>
      <c r="F49" s="35">
        <f t="shared" si="3"/>
        <v>-0.11603150138051888</v>
      </c>
      <c r="G49" s="52">
        <f t="shared" si="4"/>
        <v>1.3463309312617354E-2</v>
      </c>
      <c r="H49" s="35">
        <f t="shared" si="5"/>
        <v>-2.3450228237012396E-2</v>
      </c>
    </row>
    <row r="50" spans="1:8" ht="15" customHeight="1" x14ac:dyDescent="0.25">
      <c r="A50" s="16">
        <v>48</v>
      </c>
      <c r="B50" s="21">
        <f>Raw_Data!B50</f>
        <v>-59.580364000000003</v>
      </c>
      <c r="C50" s="21">
        <f>Raw_Data!C50</f>
        <v>15.964511</v>
      </c>
      <c r="D50" s="25">
        <f>Raw_Data!E50</f>
        <v>498.131102</v>
      </c>
      <c r="E50" s="25">
        <f>Step3_Lq_Coefs!$D$4*Step1_Features!D51+Step3_Lq_Coefs!$D$5*Step1_Features!E51+Step3_Lq_Coefs!$D$6*Step1_Features!F51+Step3_Lq_Coefs!$D$7*Step1_Features!G51+Step3_Lq_Coefs!$D$8*Step1_Features!H51+Step3_Lq_Coefs!$D$9*Step1_Features!I51+Step3_Lq_Coefs!$D$10*Step1_Features!J51+Step3_Lq_Coefs!$D$11*Step1_Features!K51+Step3_Lq_Coefs!$D$12*Step1_Features!L51+Step3_Lq_Coefs!$D$13*Step1_Features!M51+Step3_Lq_Coefs!$D$14*Step1_Features!N51+Step3_Lq_Coefs!$D$15*Step1_Features!O51+Step3_Lq_Coefs!$D$16*Step1_Features!P51+Step3_Lq_Coefs!$D$17*Step1_Features!Q51+Step3_Lq_Coefs!$D$18*Step1_Features!R51</f>
        <v>497.54139175095941</v>
      </c>
      <c r="F50" s="35">
        <f t="shared" si="3"/>
        <v>0.58971024904059277</v>
      </c>
      <c r="G50" s="17">
        <f t="shared" si="4"/>
        <v>0.34775817782351792</v>
      </c>
      <c r="H50" s="25">
        <f t="shared" si="5"/>
        <v>0.11838454709471098</v>
      </c>
    </row>
    <row r="51" spans="1:8" ht="15" customHeight="1" x14ac:dyDescent="0.25">
      <c r="A51" s="49">
        <v>49</v>
      </c>
      <c r="B51" s="21">
        <f>Raw_Data!B51</f>
        <v>-61.682132000000003</v>
      </c>
      <c r="C51" s="21">
        <f>Raw_Data!C51</f>
        <v>0</v>
      </c>
      <c r="D51" s="35">
        <f>Raw_Data!E51</f>
        <v>499.31784699999997</v>
      </c>
      <c r="E51" s="35">
        <f>Step3_Lq_Coefs!$D$4*Step1_Features!D52+Step3_Lq_Coefs!$D$5*Step1_Features!E52+Step3_Lq_Coefs!$D$6*Step1_Features!F52+Step3_Lq_Coefs!$D$7*Step1_Features!G52+Step3_Lq_Coefs!$D$8*Step1_Features!H52+Step3_Lq_Coefs!$D$9*Step1_Features!I52+Step3_Lq_Coefs!$D$10*Step1_Features!J52+Step3_Lq_Coefs!$D$11*Step1_Features!K52+Step3_Lq_Coefs!$D$12*Step1_Features!L52+Step3_Lq_Coefs!$D$13*Step1_Features!M52+Step3_Lq_Coefs!$D$14*Step1_Features!N52+Step3_Lq_Coefs!$D$15*Step1_Features!O52+Step3_Lq_Coefs!$D$16*Step1_Features!P52+Step3_Lq_Coefs!$D$17*Step1_Features!Q52+Step3_Lq_Coefs!$D$18*Step1_Features!R52</f>
        <v>499.16995528486308</v>
      </c>
      <c r="F51" s="35">
        <f t="shared" si="3"/>
        <v>0.14789171513689325</v>
      </c>
      <c r="G51" s="52">
        <f t="shared" si="4"/>
        <v>2.1871959406131982E-2</v>
      </c>
      <c r="H51" s="35">
        <f t="shared" si="5"/>
        <v>2.9618752068538274E-2</v>
      </c>
    </row>
    <row r="52" spans="1:8" ht="15" customHeight="1" x14ac:dyDescent="0.25">
      <c r="A52" s="16">
        <v>50</v>
      </c>
      <c r="B52" s="21">
        <f>Raw_Data!B52</f>
        <v>0</v>
      </c>
      <c r="C52" s="21">
        <f>Raw_Data!C52</f>
        <v>71.962486999999996</v>
      </c>
      <c r="D52" s="25">
        <f>Raw_Data!E52</f>
        <v>462.91807399999999</v>
      </c>
      <c r="E52" s="25">
        <f>Step3_Lq_Coefs!$D$4*Step1_Features!D53+Step3_Lq_Coefs!$D$5*Step1_Features!E53+Step3_Lq_Coefs!$D$6*Step1_Features!F53+Step3_Lq_Coefs!$D$7*Step1_Features!G53+Step3_Lq_Coefs!$D$8*Step1_Features!H53+Step3_Lq_Coefs!$D$9*Step1_Features!I53+Step3_Lq_Coefs!$D$10*Step1_Features!J53+Step3_Lq_Coefs!$D$11*Step1_Features!K53+Step3_Lq_Coefs!$D$12*Step1_Features!L53+Step3_Lq_Coefs!$D$13*Step1_Features!M53+Step3_Lq_Coefs!$D$14*Step1_Features!N53+Step3_Lq_Coefs!$D$15*Step1_Features!O53+Step3_Lq_Coefs!$D$16*Step1_Features!P53+Step3_Lq_Coefs!$D$17*Step1_Features!Q53+Step3_Lq_Coefs!$D$18*Step1_Features!R53</f>
        <v>463.94549312694818</v>
      </c>
      <c r="F52" s="35">
        <f t="shared" si="3"/>
        <v>-1.0274191269481889</v>
      </c>
      <c r="G52" s="17">
        <f t="shared" si="4"/>
        <v>1.0555900624189787</v>
      </c>
      <c r="H52" s="25">
        <f t="shared" si="5"/>
        <v>-0.22194405115151952</v>
      </c>
    </row>
    <row r="53" spans="1:8" ht="15" customHeight="1" x14ac:dyDescent="0.25">
      <c r="A53" s="49">
        <v>51</v>
      </c>
      <c r="B53" s="21">
        <f>Raw_Data!B53</f>
        <v>-18.625261999999999</v>
      </c>
      <c r="C53" s="21">
        <f>Raw_Data!C53</f>
        <v>69.510424999999998</v>
      </c>
      <c r="D53" s="35">
        <f>Raw_Data!E53</f>
        <v>477.55184200000002</v>
      </c>
      <c r="E53" s="35">
        <f>Step3_Lq_Coefs!$D$4*Step1_Features!D54+Step3_Lq_Coefs!$D$5*Step1_Features!E54+Step3_Lq_Coefs!$D$6*Step1_Features!F54+Step3_Lq_Coefs!$D$7*Step1_Features!G54+Step3_Lq_Coefs!$D$8*Step1_Features!H54+Step3_Lq_Coefs!$D$9*Step1_Features!I54+Step3_Lq_Coefs!$D$10*Step1_Features!J54+Step3_Lq_Coefs!$D$11*Step1_Features!K54+Step3_Lq_Coefs!$D$12*Step1_Features!L54+Step3_Lq_Coefs!$D$13*Step1_Features!M54+Step3_Lq_Coefs!$D$14*Step1_Features!N54+Step3_Lq_Coefs!$D$15*Step1_Features!O54+Step3_Lq_Coefs!$D$16*Step1_Features!P54+Step3_Lq_Coefs!$D$17*Step1_Features!Q54+Step3_Lq_Coefs!$D$18*Step1_Features!R54</f>
        <v>476.61425147560061</v>
      </c>
      <c r="F53" s="35">
        <f t="shared" si="3"/>
        <v>0.93759052439941115</v>
      </c>
      <c r="G53" s="52">
        <f t="shared" si="4"/>
        <v>0.87907599144356274</v>
      </c>
      <c r="H53" s="35">
        <f t="shared" si="5"/>
        <v>0.19633272075189923</v>
      </c>
    </row>
    <row r="54" spans="1:8" ht="15" customHeight="1" x14ac:dyDescent="0.25">
      <c r="A54" s="16">
        <v>52</v>
      </c>
      <c r="B54" s="21">
        <f>Raw_Data!B54</f>
        <v>-35.981243999999997</v>
      </c>
      <c r="C54" s="21">
        <f>Raw_Data!C54</f>
        <v>62.321342000000001</v>
      </c>
      <c r="D54" s="25">
        <f>Raw_Data!E54</f>
        <v>485.553042</v>
      </c>
      <c r="E54" s="25">
        <f>Step3_Lq_Coefs!$D$4*Step1_Features!D55+Step3_Lq_Coefs!$D$5*Step1_Features!E55+Step3_Lq_Coefs!$D$6*Step1_Features!F55+Step3_Lq_Coefs!$D$7*Step1_Features!G55+Step3_Lq_Coefs!$D$8*Step1_Features!H55+Step3_Lq_Coefs!$D$9*Step1_Features!I55+Step3_Lq_Coefs!$D$10*Step1_Features!J55+Step3_Lq_Coefs!$D$11*Step1_Features!K55+Step3_Lq_Coefs!$D$12*Step1_Features!L55+Step3_Lq_Coefs!$D$13*Step1_Features!M55+Step3_Lq_Coefs!$D$14*Step1_Features!N55+Step3_Lq_Coefs!$D$15*Step1_Features!O55+Step3_Lq_Coefs!$D$16*Step1_Features!P55+Step3_Lq_Coefs!$D$17*Step1_Features!Q55+Step3_Lq_Coefs!$D$18*Step1_Features!R55</f>
        <v>484.89353059611142</v>
      </c>
      <c r="F54" s="35">
        <f t="shared" si="3"/>
        <v>0.65951140388858676</v>
      </c>
      <c r="G54" s="17">
        <f t="shared" si="4"/>
        <v>0.43495529185909459</v>
      </c>
      <c r="H54" s="25">
        <f t="shared" si="5"/>
        <v>0.13582685038323511</v>
      </c>
    </row>
    <row r="55" spans="1:8" ht="15" customHeight="1" x14ac:dyDescent="0.25">
      <c r="A55" s="49">
        <v>53</v>
      </c>
      <c r="B55" s="21">
        <f>Raw_Data!B55</f>
        <v>-50.885162999999999</v>
      </c>
      <c r="C55" s="21">
        <f>Raw_Data!C55</f>
        <v>50.885162999999999</v>
      </c>
      <c r="D55" s="35">
        <f>Raw_Data!E55</f>
        <v>489.25537000000003</v>
      </c>
      <c r="E55" s="35">
        <f>Step3_Lq_Coefs!$D$4*Step1_Features!D56+Step3_Lq_Coefs!$D$5*Step1_Features!E56+Step3_Lq_Coefs!$D$6*Step1_Features!F56+Step3_Lq_Coefs!$D$7*Step1_Features!G56+Step3_Lq_Coefs!$D$8*Step1_Features!H56+Step3_Lq_Coefs!$D$9*Step1_Features!I56+Step3_Lq_Coefs!$D$10*Step1_Features!J56+Step3_Lq_Coefs!$D$11*Step1_Features!K56+Step3_Lq_Coefs!$D$12*Step1_Features!L56+Step3_Lq_Coefs!$D$13*Step1_Features!M56+Step3_Lq_Coefs!$D$14*Step1_Features!N56+Step3_Lq_Coefs!$D$15*Step1_Features!O56+Step3_Lq_Coefs!$D$16*Step1_Features!P56+Step3_Lq_Coefs!$D$17*Step1_Features!Q56+Step3_Lq_Coefs!$D$18*Step1_Features!R56</f>
        <v>490.02570399914316</v>
      </c>
      <c r="F55" s="35">
        <f t="shared" si="3"/>
        <v>-0.7703339991431335</v>
      </c>
      <c r="G55" s="52">
        <f t="shared" si="4"/>
        <v>0.59341447023585325</v>
      </c>
      <c r="H55" s="35">
        <f t="shared" si="5"/>
        <v>-0.15745029004855551</v>
      </c>
    </row>
    <row r="56" spans="1:8" ht="15" customHeight="1" x14ac:dyDescent="0.25">
      <c r="A56" s="16">
        <v>54</v>
      </c>
      <c r="B56" s="21">
        <f>Raw_Data!B56</f>
        <v>-62.321342000000001</v>
      </c>
      <c r="C56" s="21">
        <f>Raw_Data!C56</f>
        <v>35.981243999999997</v>
      </c>
      <c r="D56" s="25">
        <f>Raw_Data!E56</f>
        <v>493.34669400000001</v>
      </c>
      <c r="E56" s="25">
        <f>Step3_Lq_Coefs!$D$4*Step1_Features!D57+Step3_Lq_Coefs!$D$5*Step1_Features!E57+Step3_Lq_Coefs!$D$6*Step1_Features!F57+Step3_Lq_Coefs!$D$7*Step1_Features!G57+Step3_Lq_Coefs!$D$8*Step1_Features!H57+Step3_Lq_Coefs!$D$9*Step1_Features!I57+Step3_Lq_Coefs!$D$10*Step1_Features!J57+Step3_Lq_Coefs!$D$11*Step1_Features!K57+Step3_Lq_Coefs!$D$12*Step1_Features!L57+Step3_Lq_Coefs!$D$13*Step1_Features!M57+Step3_Lq_Coefs!$D$14*Step1_Features!N57+Step3_Lq_Coefs!$D$15*Step1_Features!O57+Step3_Lq_Coefs!$D$16*Step1_Features!P57+Step3_Lq_Coefs!$D$17*Step1_Features!Q57+Step3_Lq_Coefs!$D$18*Step1_Features!R57</f>
        <v>493.50017404917571</v>
      </c>
      <c r="F56" s="35">
        <f t="shared" si="3"/>
        <v>-0.15348004917569824</v>
      </c>
      <c r="G56" s="17">
        <f t="shared" si="4"/>
        <v>2.3556125494974749E-2</v>
      </c>
      <c r="H56" s="25">
        <f t="shared" si="5"/>
        <v>-3.1109978244973954E-2</v>
      </c>
    </row>
    <row r="57" spans="1:8" ht="15" customHeight="1" x14ac:dyDescent="0.25">
      <c r="A57" s="49">
        <v>55</v>
      </c>
      <c r="B57" s="21">
        <f>Raw_Data!B57</f>
        <v>-69.510424999999998</v>
      </c>
      <c r="C57" s="21">
        <f>Raw_Data!C57</f>
        <v>18.625261999999999</v>
      </c>
      <c r="D57" s="35">
        <f>Raw_Data!E57</f>
        <v>497.02192300000002</v>
      </c>
      <c r="E57" s="35">
        <f>Step3_Lq_Coefs!$D$4*Step1_Features!D58+Step3_Lq_Coefs!$D$5*Step1_Features!E58+Step3_Lq_Coefs!$D$6*Step1_Features!F58+Step3_Lq_Coefs!$D$7*Step1_Features!G58+Step3_Lq_Coefs!$D$8*Step1_Features!H58+Step3_Lq_Coefs!$D$9*Step1_Features!I58+Step3_Lq_Coefs!$D$10*Step1_Features!J58+Step3_Lq_Coefs!$D$11*Step1_Features!K58+Step3_Lq_Coefs!$D$12*Step1_Features!L58+Step3_Lq_Coefs!$D$13*Step1_Features!M58+Step3_Lq_Coefs!$D$14*Step1_Features!N58+Step3_Lq_Coefs!$D$15*Step1_Features!O58+Step3_Lq_Coefs!$D$16*Step1_Features!P58+Step3_Lq_Coefs!$D$17*Step1_Features!Q58+Step3_Lq_Coefs!$D$18*Step1_Features!R58</f>
        <v>496.32770890678228</v>
      </c>
      <c r="F57" s="35">
        <f t="shared" si="3"/>
        <v>0.69421409321773808</v>
      </c>
      <c r="G57" s="52">
        <f t="shared" si="4"/>
        <v>0.48193320722212635</v>
      </c>
      <c r="H57" s="35">
        <f t="shared" si="5"/>
        <v>0.13967474292230325</v>
      </c>
    </row>
    <row r="58" spans="1:8" ht="15" customHeight="1" x14ac:dyDescent="0.25">
      <c r="A58" s="16">
        <v>56</v>
      </c>
      <c r="B58" s="21">
        <f>Raw_Data!B58</f>
        <v>-71.962486999999996</v>
      </c>
      <c r="C58" s="21">
        <f>Raw_Data!C58</f>
        <v>0</v>
      </c>
      <c r="D58" s="25">
        <f>Raw_Data!E58</f>
        <v>497.52067</v>
      </c>
      <c r="E58" s="25">
        <f>Step3_Lq_Coefs!$D$4*Step1_Features!D59+Step3_Lq_Coefs!$D$5*Step1_Features!E59+Step3_Lq_Coefs!$D$6*Step1_Features!F59+Step3_Lq_Coefs!$D$7*Step1_Features!G59+Step3_Lq_Coefs!$D$8*Step1_Features!H59+Step3_Lq_Coefs!$D$9*Step1_Features!I59+Step3_Lq_Coefs!$D$10*Step1_Features!J59+Step3_Lq_Coefs!$D$11*Step1_Features!K59+Step3_Lq_Coefs!$D$12*Step1_Features!L59+Step3_Lq_Coefs!$D$13*Step1_Features!M59+Step3_Lq_Coefs!$D$14*Step1_Features!N59+Step3_Lq_Coefs!$D$15*Step1_Features!O59+Step3_Lq_Coefs!$D$16*Step1_Features!P59+Step3_Lq_Coefs!$D$17*Step1_Features!Q59+Step3_Lq_Coefs!$D$18*Step1_Features!R59</f>
        <v>498.12167432100244</v>
      </c>
      <c r="F58" s="35">
        <f t="shared" si="3"/>
        <v>-0.60100432100244916</v>
      </c>
      <c r="G58" s="17">
        <f t="shared" si="4"/>
        <v>0.36120619386361497</v>
      </c>
      <c r="H58" s="25">
        <f t="shared" si="5"/>
        <v>-0.12079986968228862</v>
      </c>
    </row>
    <row r="59" spans="1:8" ht="15" customHeight="1" x14ac:dyDescent="0.25">
      <c r="A59" s="49">
        <v>57</v>
      </c>
      <c r="B59" s="21">
        <f>Raw_Data!B59</f>
        <v>0</v>
      </c>
      <c r="C59" s="21">
        <f>Raw_Data!C59</f>
        <v>82.242842999999993</v>
      </c>
      <c r="D59" s="35">
        <f>Raw_Data!E59</f>
        <v>454.88771600000001</v>
      </c>
      <c r="E59" s="35">
        <f>Step3_Lq_Coefs!$D$4*Step1_Features!D60+Step3_Lq_Coefs!$D$5*Step1_Features!E60+Step3_Lq_Coefs!$D$6*Step1_Features!F60+Step3_Lq_Coefs!$D$7*Step1_Features!G60+Step3_Lq_Coefs!$D$8*Step1_Features!H60+Step3_Lq_Coefs!$D$9*Step1_Features!I60+Step3_Lq_Coefs!$D$10*Step1_Features!J60+Step3_Lq_Coefs!$D$11*Step1_Features!K60+Step3_Lq_Coefs!$D$12*Step1_Features!L60+Step3_Lq_Coefs!$D$13*Step1_Features!M60+Step3_Lq_Coefs!$D$14*Step1_Features!N60+Step3_Lq_Coefs!$D$15*Step1_Features!O60+Step3_Lq_Coefs!$D$16*Step1_Features!P60+Step3_Lq_Coefs!$D$17*Step1_Features!Q60+Step3_Lq_Coefs!$D$18*Step1_Features!R60</f>
        <v>455.69590561225283</v>
      </c>
      <c r="F59" s="35">
        <f t="shared" si="3"/>
        <v>-0.80818961225281782</v>
      </c>
      <c r="G59" s="52">
        <f t="shared" si="4"/>
        <v>0.65317044935335999</v>
      </c>
      <c r="H59" s="35">
        <f t="shared" si="5"/>
        <v>-0.17766793514661933</v>
      </c>
    </row>
    <row r="60" spans="1:8" ht="15" customHeight="1" x14ac:dyDescent="0.25">
      <c r="A60" s="16">
        <v>58</v>
      </c>
      <c r="B60" s="21">
        <f>Raw_Data!B60</f>
        <v>-21.286014000000002</v>
      </c>
      <c r="C60" s="21">
        <f>Raw_Data!C60</f>
        <v>79.440486000000007</v>
      </c>
      <c r="D60" s="25">
        <f>Raw_Data!E60</f>
        <v>472.16375599999998</v>
      </c>
      <c r="E60" s="25">
        <f>Step3_Lq_Coefs!$D$4*Step1_Features!D61+Step3_Lq_Coefs!$D$5*Step1_Features!E61+Step3_Lq_Coefs!$D$6*Step1_Features!F61+Step3_Lq_Coefs!$D$7*Step1_Features!G61+Step3_Lq_Coefs!$D$8*Step1_Features!H61+Step3_Lq_Coefs!$D$9*Step1_Features!I61+Step3_Lq_Coefs!$D$10*Step1_Features!J61+Step3_Lq_Coefs!$D$11*Step1_Features!K61+Step3_Lq_Coefs!$D$12*Step1_Features!L61+Step3_Lq_Coefs!$D$13*Step1_Features!M61+Step3_Lq_Coefs!$D$14*Step1_Features!N61+Step3_Lq_Coefs!$D$15*Step1_Features!O61+Step3_Lq_Coefs!$D$16*Step1_Features!P61+Step3_Lq_Coefs!$D$17*Step1_Features!Q61+Step3_Lq_Coefs!$D$18*Step1_Features!R61</f>
        <v>471.9860426153781</v>
      </c>
      <c r="F60" s="35">
        <f t="shared" si="3"/>
        <v>0.17771338462188169</v>
      </c>
      <c r="G60" s="17">
        <f t="shared" si="4"/>
        <v>3.1582047073764857E-2</v>
      </c>
      <c r="H60" s="25">
        <f t="shared" si="5"/>
        <v>3.7638082627816462E-2</v>
      </c>
    </row>
    <row r="61" spans="1:8" ht="15" customHeight="1" x14ac:dyDescent="0.25">
      <c r="A61" s="49">
        <v>59</v>
      </c>
      <c r="B61" s="21">
        <f>Raw_Data!B61</f>
        <v>-41.121420999999998</v>
      </c>
      <c r="C61" s="21">
        <f>Raw_Data!C61</f>
        <v>71.224390999999997</v>
      </c>
      <c r="D61" s="35">
        <f>Raw_Data!E61</f>
        <v>483.38567599999999</v>
      </c>
      <c r="E61" s="35">
        <f>Step3_Lq_Coefs!$D$4*Step1_Features!D62+Step3_Lq_Coefs!$D$5*Step1_Features!E62+Step3_Lq_Coefs!$D$6*Step1_Features!F62+Step3_Lq_Coefs!$D$7*Step1_Features!G62+Step3_Lq_Coefs!$D$8*Step1_Features!H62+Step3_Lq_Coefs!$D$9*Step1_Features!I62+Step3_Lq_Coefs!$D$10*Step1_Features!J62+Step3_Lq_Coefs!$D$11*Step1_Features!K62+Step3_Lq_Coefs!$D$12*Step1_Features!L62+Step3_Lq_Coefs!$D$13*Step1_Features!M62+Step3_Lq_Coefs!$D$14*Step1_Features!N62+Step3_Lq_Coefs!$D$15*Step1_Features!O62+Step3_Lq_Coefs!$D$16*Step1_Features!P62+Step3_Lq_Coefs!$D$17*Step1_Features!Q62+Step3_Lq_Coefs!$D$18*Step1_Features!R62</f>
        <v>482.28397324954238</v>
      </c>
      <c r="F61" s="35">
        <f t="shared" si="3"/>
        <v>1.1017027504576049</v>
      </c>
      <c r="G61" s="52">
        <f t="shared" si="4"/>
        <v>1.2137489503658516</v>
      </c>
      <c r="H61" s="35">
        <f t="shared" si="5"/>
        <v>0.22791381812844719</v>
      </c>
    </row>
    <row r="62" spans="1:8" ht="15" customHeight="1" x14ac:dyDescent="0.25">
      <c r="A62" s="16">
        <v>60</v>
      </c>
      <c r="B62" s="21">
        <f>Raw_Data!B62</f>
        <v>-58.154471999999998</v>
      </c>
      <c r="C62" s="21">
        <f>Raw_Data!C62</f>
        <v>58.154471999999998</v>
      </c>
      <c r="D62" s="25">
        <f>Raw_Data!E62</f>
        <v>487.64057200000002</v>
      </c>
      <c r="E62" s="25">
        <f>Step3_Lq_Coefs!$D$4*Step1_Features!D63+Step3_Lq_Coefs!$D$5*Step1_Features!E63+Step3_Lq_Coefs!$D$6*Step1_Features!F63+Step3_Lq_Coefs!$D$7*Step1_Features!G63+Step3_Lq_Coefs!$D$8*Step1_Features!H63+Step3_Lq_Coefs!$D$9*Step1_Features!I63+Step3_Lq_Coefs!$D$10*Step1_Features!J63+Step3_Lq_Coefs!$D$11*Step1_Features!K63+Step3_Lq_Coefs!$D$12*Step1_Features!L63+Step3_Lq_Coefs!$D$13*Step1_Features!M63+Step3_Lq_Coefs!$D$14*Step1_Features!N63+Step3_Lq_Coefs!$D$15*Step1_Features!O63+Step3_Lq_Coefs!$D$16*Step1_Features!P63+Step3_Lq_Coefs!$D$17*Step1_Features!Q63+Step3_Lq_Coefs!$D$18*Step1_Features!R63</f>
        <v>488.41549111560977</v>
      </c>
      <c r="F62" s="35">
        <f t="shared" si="3"/>
        <v>-0.77491911560974813</v>
      </c>
      <c r="G62" s="17">
        <f t="shared" si="4"/>
        <v>0.60049963573739418</v>
      </c>
      <c r="H62" s="25">
        <f t="shared" si="5"/>
        <v>-0.15891194459712596</v>
      </c>
    </row>
    <row r="63" spans="1:8" ht="15" customHeight="1" x14ac:dyDescent="0.25">
      <c r="A63" s="49">
        <v>61</v>
      </c>
      <c r="B63" s="21">
        <f>Raw_Data!B63</f>
        <v>-71.224390999999997</v>
      </c>
      <c r="C63" s="21">
        <f>Raw_Data!C63</f>
        <v>41.121420999999998</v>
      </c>
      <c r="D63" s="35">
        <f>Raw_Data!E63</f>
        <v>491.99576200000001</v>
      </c>
      <c r="E63" s="35">
        <f>Step3_Lq_Coefs!$D$4*Step1_Features!D64+Step3_Lq_Coefs!$D$5*Step1_Features!E64+Step3_Lq_Coefs!$D$6*Step1_Features!F64+Step3_Lq_Coefs!$D$7*Step1_Features!G64+Step3_Lq_Coefs!$D$8*Step1_Features!H64+Step3_Lq_Coefs!$D$9*Step1_Features!I64+Step3_Lq_Coefs!$D$10*Step1_Features!J64+Step3_Lq_Coefs!$D$11*Step1_Features!K64+Step3_Lq_Coefs!$D$12*Step1_Features!L64+Step3_Lq_Coefs!$D$13*Step1_Features!M64+Step3_Lq_Coefs!$D$14*Step1_Features!N64+Step3_Lq_Coefs!$D$15*Step1_Features!O64+Step3_Lq_Coefs!$D$16*Step1_Features!P64+Step3_Lq_Coefs!$D$17*Step1_Features!Q64+Step3_Lq_Coefs!$D$18*Step1_Features!R64</f>
        <v>492.28660334947</v>
      </c>
      <c r="F63" s="35">
        <f t="shared" si="3"/>
        <v>-0.29084134946998574</v>
      </c>
      <c r="G63" s="52">
        <f t="shared" si="4"/>
        <v>8.4588690561522378E-2</v>
      </c>
      <c r="H63" s="35">
        <f t="shared" si="5"/>
        <v>-5.9114604623359691E-2</v>
      </c>
    </row>
    <row r="64" spans="1:8" ht="15" customHeight="1" x14ac:dyDescent="0.25">
      <c r="A64" s="16">
        <v>62</v>
      </c>
      <c r="B64" s="21">
        <f>Raw_Data!B64</f>
        <v>-79.440486000000007</v>
      </c>
      <c r="C64" s="21">
        <f>Raw_Data!C64</f>
        <v>21.286014000000002</v>
      </c>
      <c r="D64" s="25">
        <f>Raw_Data!E64</f>
        <v>496.01019700000001</v>
      </c>
      <c r="E64" s="25">
        <f>Step3_Lq_Coefs!$D$4*Step1_Features!D65+Step3_Lq_Coefs!$D$5*Step1_Features!E65+Step3_Lq_Coefs!$D$6*Step1_Features!F65+Step3_Lq_Coefs!$D$7*Step1_Features!G65+Step3_Lq_Coefs!$D$8*Step1_Features!H65+Step3_Lq_Coefs!$D$9*Step1_Features!I65+Step3_Lq_Coefs!$D$10*Step1_Features!J65+Step3_Lq_Coefs!$D$11*Step1_Features!K65+Step3_Lq_Coefs!$D$12*Step1_Features!L65+Step3_Lq_Coefs!$D$13*Step1_Features!M65+Step3_Lq_Coefs!$D$14*Step1_Features!N65+Step3_Lq_Coefs!$D$15*Step1_Features!O65+Step3_Lq_Coefs!$D$16*Step1_Features!P65+Step3_Lq_Coefs!$D$17*Step1_Features!Q65+Step3_Lq_Coefs!$D$18*Step1_Features!R65</f>
        <v>495.29428664959261</v>
      </c>
      <c r="F64" s="35">
        <f t="shared" si="3"/>
        <v>0.71591035040739825</v>
      </c>
      <c r="G64" s="17">
        <f t="shared" si="4"/>
        <v>0.51252762982044375</v>
      </c>
      <c r="H64" s="25">
        <f t="shared" si="5"/>
        <v>0.14433379691333206</v>
      </c>
    </row>
    <row r="65" spans="1:8" ht="15" customHeight="1" x14ac:dyDescent="0.25">
      <c r="A65" s="49">
        <v>63</v>
      </c>
      <c r="B65" s="21">
        <f>Raw_Data!B65</f>
        <v>-82.242842999999993</v>
      </c>
      <c r="C65" s="21">
        <f>Raw_Data!C65</f>
        <v>0</v>
      </c>
      <c r="D65" s="35">
        <f>Raw_Data!E65</f>
        <v>496.820761</v>
      </c>
      <c r="E65" s="35">
        <f>Step3_Lq_Coefs!$D$4*Step1_Features!D66+Step3_Lq_Coefs!$D$5*Step1_Features!E66+Step3_Lq_Coefs!$D$6*Step1_Features!F66+Step3_Lq_Coefs!$D$7*Step1_Features!G66+Step3_Lq_Coefs!$D$8*Step1_Features!H66+Step3_Lq_Coefs!$D$9*Step1_Features!I66+Step3_Lq_Coefs!$D$10*Step1_Features!J66+Step3_Lq_Coefs!$D$11*Step1_Features!K66+Step3_Lq_Coefs!$D$12*Step1_Features!L66+Step3_Lq_Coefs!$D$13*Step1_Features!M66+Step3_Lq_Coefs!$D$14*Step1_Features!N66+Step3_Lq_Coefs!$D$15*Step1_Features!O66+Step3_Lq_Coefs!$D$16*Step1_Features!P66+Step3_Lq_Coefs!$D$17*Step1_Features!Q66+Step3_Lq_Coefs!$D$18*Step1_Features!R66</f>
        <v>497.18643406838578</v>
      </c>
      <c r="F65" s="35">
        <f t="shared" si="3"/>
        <v>-0.36567306838577451</v>
      </c>
      <c r="G65" s="52">
        <f t="shared" si="4"/>
        <v>0.13371679294266733</v>
      </c>
      <c r="H65" s="35">
        <f t="shared" si="5"/>
        <v>-7.3602614280801865E-2</v>
      </c>
    </row>
    <row r="66" spans="1:8" ht="15" customHeight="1" x14ac:dyDescent="0.25">
      <c r="A66" s="16">
        <v>64</v>
      </c>
      <c r="B66" s="21">
        <f>Raw_Data!B66</f>
        <v>0</v>
      </c>
      <c r="C66" s="21">
        <f>Raw_Data!C66</f>
        <v>92.523197999999994</v>
      </c>
      <c r="D66" s="25">
        <f>Raw_Data!E66</f>
        <v>445.44058100000001</v>
      </c>
      <c r="E66" s="25">
        <f>Step3_Lq_Coefs!$D$4*Step1_Features!D67+Step3_Lq_Coefs!$D$5*Step1_Features!E67+Step3_Lq_Coefs!$D$6*Step1_Features!F67+Step3_Lq_Coefs!$D$7*Step1_Features!G67+Step3_Lq_Coefs!$D$8*Step1_Features!H67+Step3_Lq_Coefs!$D$9*Step1_Features!I67+Step3_Lq_Coefs!$D$10*Step1_Features!J67+Step3_Lq_Coefs!$D$11*Step1_Features!K67+Step3_Lq_Coefs!$D$12*Step1_Features!L67+Step3_Lq_Coefs!$D$13*Step1_Features!M67+Step3_Lq_Coefs!$D$14*Step1_Features!N67+Step3_Lq_Coefs!$D$15*Step1_Features!O67+Step3_Lq_Coefs!$D$16*Step1_Features!P67+Step3_Lq_Coefs!$D$17*Step1_Features!Q67+Step3_Lq_Coefs!$D$18*Step1_Features!R67</f>
        <v>445.82614834206134</v>
      </c>
      <c r="F66" s="35">
        <f t="shared" si="3"/>
        <v>-0.38556734206133569</v>
      </c>
      <c r="G66" s="17">
        <f t="shared" si="4"/>
        <v>0.14866217526424305</v>
      </c>
      <c r="H66" s="25">
        <f t="shared" si="5"/>
        <v>-8.6558647439743633E-2</v>
      </c>
    </row>
    <row r="67" spans="1:8" ht="15" customHeight="1" x14ac:dyDescent="0.25">
      <c r="A67" s="49">
        <v>65</v>
      </c>
      <c r="B67" s="21">
        <f>Raw_Data!B67</f>
        <v>-23.946766</v>
      </c>
      <c r="C67" s="21">
        <f>Raw_Data!C67</f>
        <v>89.370547000000002</v>
      </c>
      <c r="D67" s="35">
        <f>Raw_Data!E67</f>
        <v>465.04540100000003</v>
      </c>
      <c r="E67" s="35">
        <f>Step3_Lq_Coefs!$D$4*Step1_Features!D68+Step3_Lq_Coefs!$D$5*Step1_Features!E68+Step3_Lq_Coefs!$D$6*Step1_Features!F68+Step3_Lq_Coefs!$D$7*Step1_Features!G68+Step3_Lq_Coefs!$D$8*Step1_Features!H68+Step3_Lq_Coefs!$D$9*Step1_Features!I68+Step3_Lq_Coefs!$D$10*Step1_Features!J68+Step3_Lq_Coefs!$D$11*Step1_Features!K68+Step3_Lq_Coefs!$D$12*Step1_Features!L68+Step3_Lq_Coefs!$D$13*Step1_Features!M68+Step3_Lq_Coefs!$D$14*Step1_Features!N68+Step3_Lq_Coefs!$D$15*Step1_Features!O68+Step3_Lq_Coefs!$D$16*Step1_Features!P68+Step3_Lq_Coefs!$D$17*Step1_Features!Q68+Step3_Lq_Coefs!$D$18*Step1_Features!R68</f>
        <v>466.22858796508893</v>
      </c>
      <c r="F67" s="35">
        <f t="shared" ref="F67:F98" si="6">D67-E67</f>
        <v>-1.1831869650889075</v>
      </c>
      <c r="G67" s="52">
        <f t="shared" ref="G67:G98" si="7">F67^2</f>
        <v>1.3999313943562997</v>
      </c>
      <c r="H67" s="35">
        <f t="shared" ref="H67:H79" si="8">F67/D67*100</f>
        <v>-0.2544239686156809</v>
      </c>
    </row>
    <row r="68" spans="1:8" ht="15" customHeight="1" x14ac:dyDescent="0.25">
      <c r="A68" s="16">
        <v>66</v>
      </c>
      <c r="B68" s="21">
        <f>Raw_Data!B68</f>
        <v>-46.261598999999997</v>
      </c>
      <c r="C68" s="21">
        <f>Raw_Data!C68</f>
        <v>80.127440000000007</v>
      </c>
      <c r="D68" s="25">
        <f>Raw_Data!E68</f>
        <v>480.26451800000001</v>
      </c>
      <c r="E68" s="25">
        <f>Step3_Lq_Coefs!$D$4*Step1_Features!D69+Step3_Lq_Coefs!$D$5*Step1_Features!E69+Step3_Lq_Coefs!$D$6*Step1_Features!F69+Step3_Lq_Coefs!$D$7*Step1_Features!G69+Step3_Lq_Coefs!$D$8*Step1_Features!H69+Step3_Lq_Coefs!$D$9*Step1_Features!I69+Step3_Lq_Coefs!$D$10*Step1_Features!J69+Step3_Lq_Coefs!$D$11*Step1_Features!K69+Step3_Lq_Coefs!$D$12*Step1_Features!L69+Step3_Lq_Coefs!$D$13*Step1_Features!M69+Step3_Lq_Coefs!$D$14*Step1_Features!N69+Step3_Lq_Coefs!$D$15*Step1_Features!O69+Step3_Lq_Coefs!$D$16*Step1_Features!P69+Step3_Lq_Coefs!$D$17*Step1_Features!Q69+Step3_Lq_Coefs!$D$18*Step1_Features!R69</f>
        <v>479.01638145950625</v>
      </c>
      <c r="F68" s="35">
        <f t="shared" si="6"/>
        <v>1.2481365404937605</v>
      </c>
      <c r="G68" s="17">
        <f t="shared" si="7"/>
        <v>1.5578448237157327</v>
      </c>
      <c r="H68" s="25">
        <f t="shared" si="8"/>
        <v>0.25988522860099372</v>
      </c>
    </row>
    <row r="69" spans="1:8" ht="15" customHeight="1" x14ac:dyDescent="0.25">
      <c r="A69" s="49">
        <v>67</v>
      </c>
      <c r="B69" s="21">
        <f>Raw_Data!B69</f>
        <v>-65.423781000000005</v>
      </c>
      <c r="C69" s="21">
        <f>Raw_Data!C69</f>
        <v>65.423781000000005</v>
      </c>
      <c r="D69" s="35">
        <f>Raw_Data!E69</f>
        <v>486.13043099999999</v>
      </c>
      <c r="E69" s="35">
        <f>Step3_Lq_Coefs!$D$4*Step1_Features!D70+Step3_Lq_Coefs!$D$5*Step1_Features!E70+Step3_Lq_Coefs!$D$6*Step1_Features!F70+Step3_Lq_Coefs!$D$7*Step1_Features!G70+Step3_Lq_Coefs!$D$8*Step1_Features!H70+Step3_Lq_Coefs!$D$9*Step1_Features!I70+Step3_Lq_Coefs!$D$10*Step1_Features!J70+Step3_Lq_Coefs!$D$11*Step1_Features!K70+Step3_Lq_Coefs!$D$12*Step1_Features!L70+Step3_Lq_Coefs!$D$13*Step1_Features!M70+Step3_Lq_Coefs!$D$14*Step1_Features!N70+Step3_Lq_Coefs!$D$15*Step1_Features!O70+Step3_Lq_Coefs!$D$16*Step1_Features!P70+Step3_Lq_Coefs!$D$17*Step1_Features!Q70+Step3_Lq_Coefs!$D$18*Step1_Features!R70</f>
        <v>486.63336200970656</v>
      </c>
      <c r="F69" s="35">
        <f t="shared" si="6"/>
        <v>-0.50293100970657179</v>
      </c>
      <c r="G69" s="52">
        <f t="shared" si="7"/>
        <v>0.25293960052447179</v>
      </c>
      <c r="H69" s="35">
        <f t="shared" si="8"/>
        <v>-0.10345598169446252</v>
      </c>
    </row>
    <row r="70" spans="1:8" ht="15" customHeight="1" x14ac:dyDescent="0.25">
      <c r="A70" s="16">
        <v>68</v>
      </c>
      <c r="B70" s="21">
        <f>Raw_Data!B70</f>
        <v>-80.127440000000007</v>
      </c>
      <c r="C70" s="21">
        <f>Raw_Data!C70</f>
        <v>46.261598999999997</v>
      </c>
      <c r="D70" s="25">
        <f>Raw_Data!E70</f>
        <v>490.74356499999999</v>
      </c>
      <c r="E70" s="25">
        <f>Step3_Lq_Coefs!$D$4*Step1_Features!D71+Step3_Lq_Coefs!$D$5*Step1_Features!E71+Step3_Lq_Coefs!$D$6*Step1_Features!F71+Step3_Lq_Coefs!$D$7*Step1_Features!G71+Step3_Lq_Coefs!$D$8*Step1_Features!H71+Step3_Lq_Coefs!$D$9*Step1_Features!I71+Step3_Lq_Coefs!$D$10*Step1_Features!J71+Step3_Lq_Coefs!$D$11*Step1_Features!K71+Step3_Lq_Coefs!$D$12*Step1_Features!L71+Step3_Lq_Coefs!$D$13*Step1_Features!M71+Step3_Lq_Coefs!$D$14*Step1_Features!N71+Step3_Lq_Coefs!$D$15*Step1_Features!O71+Step3_Lq_Coefs!$D$16*Step1_Features!P71+Step3_Lq_Coefs!$D$17*Step1_Features!Q71+Step3_Lq_Coefs!$D$18*Step1_Features!R71</f>
        <v>491.20929056709639</v>
      </c>
      <c r="F70" s="35">
        <f t="shared" si="6"/>
        <v>-0.46572556709639912</v>
      </c>
      <c r="G70" s="17">
        <f t="shared" si="7"/>
        <v>0.21690030384726255</v>
      </c>
      <c r="H70" s="25">
        <f t="shared" si="8"/>
        <v>-9.4902022219364016E-2</v>
      </c>
    </row>
    <row r="71" spans="1:8" ht="15" customHeight="1" x14ac:dyDescent="0.25">
      <c r="A71" s="49">
        <v>69</v>
      </c>
      <c r="B71" s="21">
        <f>Raw_Data!B71</f>
        <v>-89.370547000000002</v>
      </c>
      <c r="C71" s="21">
        <f>Raw_Data!C71</f>
        <v>23.946766</v>
      </c>
      <c r="D71" s="35">
        <f>Raw_Data!E71</f>
        <v>495.08681100000001</v>
      </c>
      <c r="E71" s="35">
        <f>Step3_Lq_Coefs!$D$4*Step1_Features!D72+Step3_Lq_Coefs!$D$5*Step1_Features!E72+Step3_Lq_Coefs!$D$6*Step1_Features!F72+Step3_Lq_Coefs!$D$7*Step1_Features!G72+Step3_Lq_Coefs!$D$8*Step1_Features!H72+Step3_Lq_Coefs!$D$9*Step1_Features!I72+Step3_Lq_Coefs!$D$10*Step1_Features!J72+Step3_Lq_Coefs!$D$11*Step1_Features!K72+Step3_Lq_Coefs!$D$12*Step1_Features!L72+Step3_Lq_Coefs!$D$13*Step1_Features!M72+Step3_Lq_Coefs!$D$14*Step1_Features!N72+Step3_Lq_Coefs!$D$15*Step1_Features!O72+Step3_Lq_Coefs!$D$16*Step1_Features!P72+Step3_Lq_Coefs!$D$17*Step1_Features!Q72+Step3_Lq_Coefs!$D$18*Step1_Features!R72</f>
        <v>494.44924211492747</v>
      </c>
      <c r="F71" s="35">
        <f t="shared" si="6"/>
        <v>0.63756888507253962</v>
      </c>
      <c r="G71" s="52">
        <f t="shared" si="7"/>
        <v>0.40649408321264124</v>
      </c>
      <c r="H71" s="35">
        <f t="shared" si="8"/>
        <v>0.12877921021259836</v>
      </c>
    </row>
    <row r="72" spans="1:8" ht="15" customHeight="1" x14ac:dyDescent="0.25">
      <c r="A72" s="16">
        <v>70</v>
      </c>
      <c r="B72" s="21">
        <f>Raw_Data!B72</f>
        <v>-92.523197999999994</v>
      </c>
      <c r="C72" s="21">
        <f>Raw_Data!C72</f>
        <v>0</v>
      </c>
      <c r="D72" s="25">
        <f>Raw_Data!E72</f>
        <v>496.08468299999998</v>
      </c>
      <c r="E72" s="25">
        <f>Step3_Lq_Coefs!$D$4*Step1_Features!D73+Step3_Lq_Coefs!$D$5*Step1_Features!E73+Step3_Lq_Coefs!$D$6*Step1_Features!F73+Step3_Lq_Coefs!$D$7*Step1_Features!G73+Step3_Lq_Coefs!$D$8*Step1_Features!H73+Step3_Lq_Coefs!$D$9*Step1_Features!I73+Step3_Lq_Coefs!$D$10*Step1_Features!J73+Step3_Lq_Coefs!$D$11*Step1_Features!K73+Step3_Lq_Coefs!$D$12*Step1_Features!L73+Step3_Lq_Coefs!$D$13*Step1_Features!M73+Step3_Lq_Coefs!$D$14*Step1_Features!N73+Step3_Lq_Coefs!$D$15*Step1_Features!O73+Step3_Lq_Coefs!$D$16*Step1_Features!P73+Step3_Lq_Coefs!$D$17*Step1_Features!Q73+Step3_Lq_Coefs!$D$18*Step1_Features!R73</f>
        <v>496.36467442971633</v>
      </c>
      <c r="F72" s="35">
        <f t="shared" si="6"/>
        <v>-0.27999142971634683</v>
      </c>
      <c r="G72" s="17">
        <f t="shared" si="7"/>
        <v>7.8395200714603985E-2</v>
      </c>
      <c r="H72" s="25">
        <f t="shared" si="8"/>
        <v>-5.6440248875079028E-2</v>
      </c>
    </row>
    <row r="73" spans="1:8" ht="15" customHeight="1" x14ac:dyDescent="0.25">
      <c r="A73" s="49">
        <v>71</v>
      </c>
      <c r="B73" s="21">
        <f>Raw_Data!B73</f>
        <v>0</v>
      </c>
      <c r="C73" s="21">
        <f>Raw_Data!C73</f>
        <v>102.80355299999999</v>
      </c>
      <c r="D73" s="35">
        <f>Raw_Data!E73</f>
        <v>435.11365799999999</v>
      </c>
      <c r="E73" s="35">
        <f>Step3_Lq_Coefs!$D$4*Step1_Features!D74+Step3_Lq_Coefs!$D$5*Step1_Features!E74+Step3_Lq_Coefs!$D$6*Step1_Features!F74+Step3_Lq_Coefs!$D$7*Step1_Features!G74+Step3_Lq_Coefs!$D$8*Step1_Features!H74+Step3_Lq_Coefs!$D$9*Step1_Features!I74+Step3_Lq_Coefs!$D$10*Step1_Features!J74+Step3_Lq_Coefs!$D$11*Step1_Features!K74+Step3_Lq_Coefs!$D$12*Step1_Features!L74+Step3_Lq_Coefs!$D$13*Step1_Features!M74+Step3_Lq_Coefs!$D$14*Step1_Features!N74+Step3_Lq_Coefs!$D$15*Step1_Features!O74+Step3_Lq_Coefs!$D$16*Step1_Features!P74+Step3_Lq_Coefs!$D$17*Step1_Features!Q74+Step3_Lq_Coefs!$D$18*Step1_Features!R74</f>
        <v>433.56159696575543</v>
      </c>
      <c r="F73" s="35">
        <f t="shared" si="6"/>
        <v>1.5520610342445593</v>
      </c>
      <c r="G73" s="52">
        <f t="shared" si="7"/>
        <v>2.4088934540202911</v>
      </c>
      <c r="H73" s="35">
        <f t="shared" si="8"/>
        <v>0.35670243985872752</v>
      </c>
    </row>
    <row r="74" spans="1:8" ht="15" customHeight="1" x14ac:dyDescent="0.25">
      <c r="A74" s="16">
        <v>72</v>
      </c>
      <c r="B74" s="21">
        <f>Raw_Data!B74</f>
        <v>-26.607517999999999</v>
      </c>
      <c r="C74" s="21">
        <f>Raw_Data!C74</f>
        <v>99.300606999999999</v>
      </c>
      <c r="D74" s="25">
        <f>Raw_Data!E74</f>
        <v>456.92775599999999</v>
      </c>
      <c r="E74" s="25">
        <f>Step3_Lq_Coefs!$D$4*Step1_Features!D75+Step3_Lq_Coefs!$D$5*Step1_Features!E75+Step3_Lq_Coefs!$D$6*Step1_Features!F75+Step3_Lq_Coefs!$D$7*Step1_Features!G75+Step3_Lq_Coefs!$D$8*Step1_Features!H75+Step3_Lq_Coefs!$D$9*Step1_Features!I75+Step3_Lq_Coefs!$D$10*Step1_Features!J75+Step3_Lq_Coefs!$D$11*Step1_Features!K75+Step3_Lq_Coefs!$D$12*Step1_Features!L75+Step3_Lq_Coefs!$D$13*Step1_Features!M75+Step3_Lq_Coefs!$D$14*Step1_Features!N75+Step3_Lq_Coefs!$D$15*Step1_Features!O75+Step3_Lq_Coefs!$D$16*Step1_Features!P75+Step3_Lq_Coefs!$D$17*Step1_Features!Q75+Step3_Lq_Coefs!$D$18*Step1_Features!R75</f>
        <v>458.52644771684891</v>
      </c>
      <c r="F74" s="35">
        <f t="shared" si="6"/>
        <v>-1.5986917168489185</v>
      </c>
      <c r="G74" s="17">
        <f t="shared" si="7"/>
        <v>2.5558152055213426</v>
      </c>
      <c r="H74" s="25">
        <f t="shared" si="8"/>
        <v>-0.34987844267637763</v>
      </c>
    </row>
    <row r="75" spans="1:8" ht="15" customHeight="1" x14ac:dyDescent="0.25">
      <c r="A75" s="49">
        <v>73</v>
      </c>
      <c r="B75" s="21">
        <f>Raw_Data!B75</f>
        <v>-51.401777000000003</v>
      </c>
      <c r="C75" s="21">
        <f>Raw_Data!C75</f>
        <v>89.030489000000003</v>
      </c>
      <c r="D75" s="35">
        <f>Raw_Data!E75</f>
        <v>475.05686500000002</v>
      </c>
      <c r="E75" s="35">
        <f>Step3_Lq_Coefs!$D$4*Step1_Features!D76+Step3_Lq_Coefs!$D$5*Step1_Features!E76+Step3_Lq_Coefs!$D$6*Step1_Features!F76+Step3_Lq_Coefs!$D$7*Step1_Features!G76+Step3_Lq_Coefs!$D$8*Step1_Features!H76+Step3_Lq_Coefs!$D$9*Step1_Features!I76+Step3_Lq_Coefs!$D$10*Step1_Features!J76+Step3_Lq_Coefs!$D$11*Step1_Features!K76+Step3_Lq_Coefs!$D$12*Step1_Features!L76+Step3_Lq_Coefs!$D$13*Step1_Features!M76+Step3_Lq_Coefs!$D$14*Step1_Features!N76+Step3_Lq_Coefs!$D$15*Step1_Features!O76+Step3_Lq_Coefs!$D$16*Step1_Features!P76+Step3_Lq_Coefs!$D$17*Step1_Features!Q76+Step3_Lq_Coefs!$D$18*Step1_Features!R76</f>
        <v>474.4217642614795</v>
      </c>
      <c r="F75" s="35">
        <f t="shared" si="6"/>
        <v>0.63510073852052074</v>
      </c>
      <c r="G75" s="52">
        <f t="shared" si="7"/>
        <v>0.40335294806931082</v>
      </c>
      <c r="H75" s="35">
        <f t="shared" si="8"/>
        <v>0.13368941390216954</v>
      </c>
    </row>
    <row r="76" spans="1:8" ht="15" customHeight="1" x14ac:dyDescent="0.25">
      <c r="A76" s="16">
        <v>74</v>
      </c>
      <c r="B76" s="21">
        <f>Raw_Data!B76</f>
        <v>-72.693089999999998</v>
      </c>
      <c r="C76" s="21">
        <f>Raw_Data!C76</f>
        <v>72.693089999999998</v>
      </c>
      <c r="D76" s="25">
        <f>Raw_Data!E76</f>
        <v>484.67629199999999</v>
      </c>
      <c r="E76" s="25">
        <f>Step3_Lq_Coefs!$D$4*Step1_Features!D77+Step3_Lq_Coefs!$D$5*Step1_Features!E77+Step3_Lq_Coefs!$D$6*Step1_Features!F77+Step3_Lq_Coefs!$D$7*Step1_Features!G77+Step3_Lq_Coefs!$D$8*Step1_Features!H77+Step3_Lq_Coefs!$D$9*Step1_Features!I77+Step3_Lq_Coefs!$D$10*Step1_Features!J77+Step3_Lq_Coefs!$D$11*Step1_Features!K77+Step3_Lq_Coefs!$D$12*Step1_Features!L77+Step3_Lq_Coefs!$D$13*Step1_Features!M77+Step3_Lq_Coefs!$D$14*Step1_Features!N77+Step3_Lq_Coefs!$D$15*Step1_Features!O77+Step3_Lq_Coefs!$D$16*Step1_Features!P77+Step3_Lq_Coefs!$D$17*Step1_Features!Q77+Step3_Lq_Coefs!$D$18*Step1_Features!R77</f>
        <v>484.28209205717218</v>
      </c>
      <c r="F76" s="35">
        <f t="shared" si="6"/>
        <v>0.3941999428278109</v>
      </c>
      <c r="G76" s="17">
        <f t="shared" si="7"/>
        <v>0.15539359492544938</v>
      </c>
      <c r="H76" s="25">
        <f t="shared" si="8"/>
        <v>8.1332623306404866E-2</v>
      </c>
    </row>
    <row r="77" spans="1:8" ht="15" customHeight="1" x14ac:dyDescent="0.25">
      <c r="A77" s="49">
        <v>75</v>
      </c>
      <c r="B77" s="21">
        <f>Raw_Data!B77</f>
        <v>-89.030489000000003</v>
      </c>
      <c r="C77" s="21">
        <f>Raw_Data!C77</f>
        <v>51.401777000000003</v>
      </c>
      <c r="D77" s="35">
        <f>Raw_Data!E77</f>
        <v>489.49753800000002</v>
      </c>
      <c r="E77" s="35">
        <f>Step3_Lq_Coefs!$D$4*Step1_Features!D78+Step3_Lq_Coefs!$D$5*Step1_Features!E78+Step3_Lq_Coefs!$D$6*Step1_Features!F78+Step3_Lq_Coefs!$D$7*Step1_Features!G78+Step3_Lq_Coefs!$D$8*Step1_Features!H78+Step3_Lq_Coefs!$D$9*Step1_Features!I78+Step3_Lq_Coefs!$D$10*Step1_Features!J78+Step3_Lq_Coefs!$D$11*Step1_Features!K78+Step3_Lq_Coefs!$D$12*Step1_Features!L78+Step3_Lq_Coefs!$D$13*Step1_Features!M78+Step3_Lq_Coefs!$D$14*Step1_Features!N78+Step3_Lq_Coefs!$D$15*Step1_Features!O78+Step3_Lq_Coefs!$D$16*Step1_Features!P78+Step3_Lq_Coefs!$D$17*Step1_Features!Q78+Step3_Lq_Coefs!$D$18*Step1_Features!R78</f>
        <v>490.10628043714502</v>
      </c>
      <c r="F77" s="35">
        <f t="shared" si="6"/>
        <v>-0.60874243714499698</v>
      </c>
      <c r="G77" s="52">
        <f t="shared" si="7"/>
        <v>0.3705673547812306</v>
      </c>
      <c r="H77" s="35">
        <f t="shared" si="8"/>
        <v>-0.12436067393356265</v>
      </c>
    </row>
    <row r="78" spans="1:8" ht="15" customHeight="1" x14ac:dyDescent="0.25">
      <c r="A78" s="16">
        <v>76</v>
      </c>
      <c r="B78" s="21">
        <f>Raw_Data!B78</f>
        <v>-99.300606999999999</v>
      </c>
      <c r="C78" s="21">
        <f>Raw_Data!C78</f>
        <v>26.607517999999999</v>
      </c>
      <c r="D78" s="25">
        <f>Raw_Data!E78</f>
        <v>494.11029300000001</v>
      </c>
      <c r="E78" s="25">
        <f>Step3_Lq_Coefs!$D$4*Step1_Features!D79+Step3_Lq_Coefs!$D$5*Step1_Features!E79+Step3_Lq_Coefs!$D$6*Step1_Features!F79+Step3_Lq_Coefs!$D$7*Step1_Features!G79+Step3_Lq_Coefs!$D$8*Step1_Features!H79+Step3_Lq_Coefs!$D$9*Step1_Features!I79+Step3_Lq_Coefs!$D$10*Step1_Features!J79+Step3_Lq_Coefs!$D$11*Step1_Features!K79+Step3_Lq_Coefs!$D$12*Step1_Features!L79+Step3_Lq_Coefs!$D$13*Step1_Features!M79+Step3_Lq_Coefs!$D$14*Step1_Features!N79+Step3_Lq_Coefs!$D$15*Step1_Features!O79+Step3_Lq_Coefs!$D$16*Step1_Features!P79+Step3_Lq_Coefs!$D$17*Step1_Features!Q79+Step3_Lq_Coefs!$D$18*Step1_Features!R79</f>
        <v>493.72856093079969</v>
      </c>
      <c r="F78" s="35">
        <f t="shared" si="6"/>
        <v>0.38173206920032499</v>
      </c>
      <c r="G78" s="17">
        <f t="shared" si="7"/>
        <v>0.14571937265596172</v>
      </c>
      <c r="H78" s="25">
        <f t="shared" si="8"/>
        <v>7.7256449543406894E-2</v>
      </c>
    </row>
    <row r="79" spans="1:8" ht="15" customHeight="1" x14ac:dyDescent="0.25">
      <c r="A79" s="49">
        <v>77</v>
      </c>
      <c r="B79" s="21">
        <f>Raw_Data!B79</f>
        <v>-102.80355299999999</v>
      </c>
      <c r="C79" s="21">
        <f>Raw_Data!C79</f>
        <v>0</v>
      </c>
      <c r="D79" s="35">
        <f>Raw_Data!E79</f>
        <v>495.48275000000001</v>
      </c>
      <c r="E79" s="35">
        <f>Step3_Lq_Coefs!$D$4*Step1_Features!D80+Step3_Lq_Coefs!$D$5*Step1_Features!E80+Step3_Lq_Coefs!$D$6*Step1_Features!F80+Step3_Lq_Coefs!$D$7*Step1_Features!G80+Step3_Lq_Coefs!$D$8*Step1_Features!H80+Step3_Lq_Coefs!$D$9*Step1_Features!I80+Step3_Lq_Coefs!$D$10*Step1_Features!J80+Step3_Lq_Coefs!$D$11*Step1_Features!K80+Step3_Lq_Coefs!$D$12*Step1_Features!L80+Step3_Lq_Coefs!$D$13*Step1_Features!M80+Step3_Lq_Coefs!$D$14*Step1_Features!N80+Step3_Lq_Coefs!$D$15*Step1_Features!O80+Step3_Lq_Coefs!$D$16*Step1_Features!P80+Step3_Lq_Coefs!$D$17*Step1_Features!Q80+Step3_Lq_Coefs!$D$18*Step1_Features!R80</f>
        <v>495.58744606223195</v>
      </c>
      <c r="F79" s="35">
        <f t="shared" si="6"/>
        <v>-0.1046960622319375</v>
      </c>
      <c r="G79" s="52">
        <f t="shared" si="7"/>
        <v>1.096126544687373E-2</v>
      </c>
      <c r="H79" s="35">
        <f t="shared" si="8"/>
        <v>-2.1130112447292564E-2</v>
      </c>
    </row>
    <row r="80" spans="1:8" ht="15" customHeight="1" x14ac:dyDescent="0.25">
      <c r="A80" s="53" t="s">
        <v>118</v>
      </c>
      <c r="B80" s="54"/>
      <c r="C80" s="54"/>
      <c r="D80" s="55" t="s">
        <v>119</v>
      </c>
      <c r="E80" s="56">
        <f>1-SUMPRODUCT((D3:D79-E3:E79)^2)/SUMPRODUCT((D3:D79-AVERAGE(D3:D79))^2)</f>
        <v>0.99765090940925716</v>
      </c>
      <c r="F80" s="57">
        <f>MAX(F3:F79,-MIN(F3:F79))</f>
        <v>1.5986917168489185</v>
      </c>
      <c r="G80" s="58">
        <f>SQRT(SUMPRODUCT(G3:G79)/77)</f>
        <v>0.64289998335980947</v>
      </c>
      <c r="H80" s="54"/>
    </row>
    <row r="82" spans="1:8" ht="15" customHeight="1" x14ac:dyDescent="0.25">
      <c r="A82" s="2" t="s">
        <v>120</v>
      </c>
      <c r="B82" s="2"/>
      <c r="C82" s="2"/>
      <c r="D82" s="2"/>
      <c r="E82" s="2"/>
      <c r="F82" s="2"/>
      <c r="G82" s="2"/>
      <c r="H82" s="2"/>
    </row>
  </sheetData>
  <mergeCells count="2">
    <mergeCell ref="A1:H1"/>
    <mergeCell ref="A82:H8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6"/>
  <sheetViews>
    <sheetView zoomScaleNormal="100" workbookViewId="0">
      <selection activeCell="A10" sqref="A10:XFD10"/>
    </sheetView>
  </sheetViews>
  <sheetFormatPr defaultColWidth="8.7109375" defaultRowHeight="15" x14ac:dyDescent="0.25"/>
  <cols>
    <col min="1" max="1" width="14" customWidth="1"/>
    <col min="2" max="2" width="20.7109375" customWidth="1"/>
    <col min="3" max="3" width="30.7109375" customWidth="1"/>
    <col min="4" max="5" width="20.7109375" customWidth="1"/>
    <col min="6" max="6" width="40.7109375" customWidth="1"/>
  </cols>
  <sheetData>
    <row r="1" spans="1:22" ht="18" customHeight="1" x14ac:dyDescent="0.25">
      <c r="A1" s="1" t="s">
        <v>170</v>
      </c>
      <c r="B1" s="1"/>
      <c r="C1" s="1"/>
      <c r="D1" s="1"/>
      <c r="E1" s="1"/>
    </row>
    <row r="2" spans="1:22" ht="15.75" customHeight="1" x14ac:dyDescent="0.25">
      <c r="A2" s="3" t="s">
        <v>122</v>
      </c>
      <c r="B2" s="3"/>
      <c r="C2" s="3"/>
      <c r="D2" s="3"/>
      <c r="E2" s="3"/>
    </row>
    <row r="5" spans="1:22" ht="15.75" customHeight="1" x14ac:dyDescent="0.25">
      <c r="A5" s="46" t="s">
        <v>26</v>
      </c>
      <c r="B5" s="46" t="s">
        <v>27</v>
      </c>
      <c r="C5" s="46" t="s">
        <v>29</v>
      </c>
      <c r="D5" s="46" t="s">
        <v>123</v>
      </c>
      <c r="E5" s="46" t="s">
        <v>124</v>
      </c>
    </row>
    <row r="6" spans="1:22" ht="15" customHeight="1" x14ac:dyDescent="0.25">
      <c r="A6" s="42">
        <v>-30</v>
      </c>
      <c r="B6" s="42">
        <v>20</v>
      </c>
      <c r="C6" s="43">
        <f>Step3_Lq_Coefs!D4*1+Step3_Lq_Coefs!D5*A6+Step3_Lq_Coefs!D6*B6+Step3_Lq_Coefs!D7*A6^2+Step3_Lq_Coefs!D8*A6*B6+Step3_Lq_Coefs!D9*B6^2+Step3_Lq_Coefs!D10*A6^3+Step3_Lq_Coefs!D11*A6^2*B6+Step3_Lq_Coefs!D12*A6*B6^2+Step3_Lq_Coefs!D13*B6^3+Step3_Lq_Coefs!D14*A6^4+Step3_Lq_Coefs!D15*A6^3*B6+Step3_Lq_Coefs!D16*A6^2*B6^2+Step3_Lq_Coefs!D17*A6*B6^3+Step3_Lq_Coefs!D18*B6^4</f>
        <v>498.35578670798373</v>
      </c>
      <c r="D6" s="82">
        <f>Step3_Lq_Coefs!$D$4*H6+Step3_Lq_Coefs!$D$5*I6+Step3_Lq_Coefs!$D$6*J6+Step3_Lq_Coefs!$D$7*K6+Step3_Lq_Coefs!$D$8*L6+Step3_Lq_Coefs!$D$9*M6+Step3_Lq_Coefs!$D$10*N6+Step3_Lq_Coefs!$D$11*O6+Step3_Lq_Coefs!$D$12*P6+Step3_Lq_Coefs!$D$13*Q6+Step3_Lq_Coefs!$D$14*R6+Step3_Lq_Coefs!$D$15*S6+Step3_Lq_Coefs!$D$16*T6+Step3_Lq_Coefs!$D$17*U6+Step3_Lq_Coefs!$D$18*V6</f>
        <v>498.35578670798373</v>
      </c>
      <c r="E6" s="44" t="s">
        <v>125</v>
      </c>
      <c r="G6" s="45" t="s">
        <v>126</v>
      </c>
      <c r="H6" s="70">
        <f>1</f>
        <v>1</v>
      </c>
      <c r="I6" s="70">
        <f>A6</f>
        <v>-30</v>
      </c>
      <c r="J6" s="70">
        <f>B6</f>
        <v>20</v>
      </c>
      <c r="K6" s="70">
        <f>A6^2</f>
        <v>900</v>
      </c>
      <c r="L6" s="70">
        <f>A6*B6</f>
        <v>-600</v>
      </c>
      <c r="M6" s="70">
        <f>B6^2</f>
        <v>400</v>
      </c>
      <c r="N6" s="70">
        <f>A6^3</f>
        <v>-27000</v>
      </c>
      <c r="O6" s="70">
        <f>A6^2*B6</f>
        <v>18000</v>
      </c>
      <c r="P6" s="70">
        <f>A6*B6^2</f>
        <v>-12000</v>
      </c>
      <c r="Q6" s="70">
        <f>B6^3</f>
        <v>8000</v>
      </c>
      <c r="R6" s="70">
        <f>A6^4</f>
        <v>810000</v>
      </c>
      <c r="S6" s="70">
        <f>A6^3*B6</f>
        <v>-540000</v>
      </c>
      <c r="T6" s="70">
        <f>A6^2*B6^2</f>
        <v>360000</v>
      </c>
      <c r="U6" s="70">
        <f>A6*B6^3</f>
        <v>-240000</v>
      </c>
      <c r="V6" s="70">
        <f>B6^4</f>
        <v>160000</v>
      </c>
    </row>
    <row r="8" spans="1:22" ht="7.5" customHeight="1" x14ac:dyDescent="0.25"/>
    <row r="9" spans="1:22" ht="18" customHeight="1" x14ac:dyDescent="0.25">
      <c r="A9" s="1" t="s">
        <v>171</v>
      </c>
      <c r="B9" s="1"/>
      <c r="C9" s="1"/>
      <c r="D9" s="1"/>
      <c r="E9" s="1"/>
    </row>
    <row r="10" spans="1:22" ht="30" customHeight="1" x14ac:dyDescent="0.25">
      <c r="A10" s="20" t="s">
        <v>53</v>
      </c>
      <c r="B10" s="20" t="s">
        <v>128</v>
      </c>
      <c r="C10" s="20" t="s">
        <v>129</v>
      </c>
      <c r="D10" s="20" t="s">
        <v>130</v>
      </c>
      <c r="E10" s="20" t="s">
        <v>131</v>
      </c>
    </row>
    <row r="11" spans="1:22" ht="15" customHeight="1" x14ac:dyDescent="0.25">
      <c r="A11" s="47" t="s">
        <v>35</v>
      </c>
      <c r="B11" s="51">
        <f>Step3_Lq_Coefs!D4</f>
        <v>499.06586330792697</v>
      </c>
      <c r="C11" s="50" t="s">
        <v>172</v>
      </c>
      <c r="D11" s="80">
        <f>1</f>
        <v>1</v>
      </c>
      <c r="E11" s="52">
        <f t="shared" ref="E11:E25" si="0">B11*D11</f>
        <v>499.06586330792697</v>
      </c>
    </row>
    <row r="12" spans="1:22" ht="15" customHeight="1" x14ac:dyDescent="0.25">
      <c r="A12" s="47" t="s">
        <v>36</v>
      </c>
      <c r="B12" s="31">
        <f>Step3_Lq_Coefs!D5</f>
        <v>-0.2916383121535091</v>
      </c>
      <c r="C12" s="30" t="s">
        <v>173</v>
      </c>
      <c r="D12" s="72">
        <f>A6</f>
        <v>-30</v>
      </c>
      <c r="E12" s="17">
        <f t="shared" si="0"/>
        <v>8.7491493646052731</v>
      </c>
    </row>
    <row r="13" spans="1:22" ht="15" customHeight="1" x14ac:dyDescent="0.25">
      <c r="A13" s="47" t="s">
        <v>37</v>
      </c>
      <c r="B13" s="51">
        <f>Step3_Lq_Coefs!D6</f>
        <v>-4.6911513264149107E-2</v>
      </c>
      <c r="C13" s="50" t="s">
        <v>174</v>
      </c>
      <c r="D13" s="80">
        <f>B6</f>
        <v>20</v>
      </c>
      <c r="E13" s="52">
        <f t="shared" si="0"/>
        <v>-0.93823026528298215</v>
      </c>
    </row>
    <row r="14" spans="1:22" ht="15" customHeight="1" x14ac:dyDescent="0.25">
      <c r="A14" s="47" t="s">
        <v>38</v>
      </c>
      <c r="B14" s="31">
        <f>Step3_Lq_Coefs!D7</f>
        <v>-8.6442439455751696E-3</v>
      </c>
      <c r="C14" s="30" t="s">
        <v>175</v>
      </c>
      <c r="D14" s="72">
        <f>A6^2</f>
        <v>900</v>
      </c>
      <c r="E14" s="17">
        <f t="shared" si="0"/>
        <v>-7.7798195510176527</v>
      </c>
    </row>
    <row r="15" spans="1:22" ht="15" customHeight="1" x14ac:dyDescent="0.25">
      <c r="A15" s="47" t="s">
        <v>39</v>
      </c>
      <c r="B15" s="51">
        <f>Step3_Lq_Coefs!D8</f>
        <v>1.3410687026826906E-4</v>
      </c>
      <c r="C15" s="50" t="s">
        <v>176</v>
      </c>
      <c r="D15" s="80">
        <f>A6*B6</f>
        <v>-600</v>
      </c>
      <c r="E15" s="52">
        <f t="shared" si="0"/>
        <v>-8.0464122160961438E-2</v>
      </c>
    </row>
    <row r="16" spans="1:22" ht="15" customHeight="1" x14ac:dyDescent="0.25">
      <c r="A16" s="47" t="s">
        <v>40</v>
      </c>
      <c r="B16" s="31">
        <f>Step3_Lq_Coefs!D9</f>
        <v>-1.2598747341257877E-2</v>
      </c>
      <c r="C16" s="30" t="s">
        <v>177</v>
      </c>
      <c r="D16" s="72">
        <f>B6^2</f>
        <v>400</v>
      </c>
      <c r="E16" s="17">
        <f t="shared" si="0"/>
        <v>-5.0394989365031506</v>
      </c>
    </row>
    <row r="17" spans="1:5" ht="15" customHeight="1" x14ac:dyDescent="0.25">
      <c r="A17" s="47" t="s">
        <v>41</v>
      </c>
      <c r="B17" s="51">
        <f>Step3_Lq_Coefs!D10</f>
        <v>-7.9899283758178008E-5</v>
      </c>
      <c r="C17" s="50" t="s">
        <v>178</v>
      </c>
      <c r="D17" s="80">
        <f>A6^3</f>
        <v>-27000</v>
      </c>
      <c r="E17" s="52">
        <f t="shared" si="0"/>
        <v>2.1572806614708062</v>
      </c>
    </row>
    <row r="18" spans="1:5" ht="15" customHeight="1" x14ac:dyDescent="0.25">
      <c r="A18" s="47" t="s">
        <v>42</v>
      </c>
      <c r="B18" s="31">
        <f>Step3_Lq_Coefs!D11</f>
        <v>2.1853964349283217E-6</v>
      </c>
      <c r="C18" s="30" t="s">
        <v>179</v>
      </c>
      <c r="D18" s="72">
        <f>A6^2*B6</f>
        <v>18000</v>
      </c>
      <c r="E18" s="17">
        <f t="shared" si="0"/>
        <v>3.9337135828709791E-2</v>
      </c>
    </row>
    <row r="19" spans="1:5" ht="15" customHeight="1" x14ac:dyDescent="0.25">
      <c r="A19" s="47" t="s">
        <v>43</v>
      </c>
      <c r="B19" s="51">
        <f>Step3_Lq_Coefs!D12</f>
        <v>-1.4219602067333525E-4</v>
      </c>
      <c r="C19" s="50" t="s">
        <v>180</v>
      </c>
      <c r="D19" s="80">
        <f>A6*B6^2</f>
        <v>-12000</v>
      </c>
      <c r="E19" s="52">
        <f t="shared" si="0"/>
        <v>1.7063522480800231</v>
      </c>
    </row>
    <row r="20" spans="1:5" ht="15" customHeight="1" x14ac:dyDescent="0.25">
      <c r="A20" s="47" t="s">
        <v>44</v>
      </c>
      <c r="B20" s="31">
        <f>Step3_Lq_Coefs!D13</f>
        <v>1.4400356568389228E-4</v>
      </c>
      <c r="C20" s="30" t="s">
        <v>181</v>
      </c>
      <c r="D20" s="72">
        <f>B6^3</f>
        <v>8000</v>
      </c>
      <c r="E20" s="17">
        <f t="shared" si="0"/>
        <v>1.1520285254711382</v>
      </c>
    </row>
    <row r="21" spans="1:5" ht="15" customHeight="1" x14ac:dyDescent="0.25">
      <c r="A21" s="47" t="s">
        <v>45</v>
      </c>
      <c r="B21" s="51">
        <f>Step3_Lq_Coefs!D14</f>
        <v>-2.5884912910117616E-7</v>
      </c>
      <c r="C21" s="50" t="s">
        <v>182</v>
      </c>
      <c r="D21" s="80">
        <f>A6^4</f>
        <v>810000</v>
      </c>
      <c r="E21" s="52">
        <f t="shared" si="0"/>
        <v>-0.2096677945719527</v>
      </c>
    </row>
    <row r="22" spans="1:5" ht="15" customHeight="1" x14ac:dyDescent="0.25">
      <c r="A22" s="47" t="s">
        <v>46</v>
      </c>
      <c r="B22" s="31">
        <f>Step3_Lq_Coefs!D15</f>
        <v>-3.5973036156215082E-8</v>
      </c>
      <c r="C22" s="30" t="s">
        <v>183</v>
      </c>
      <c r="D22" s="72">
        <f>A6^3*B6</f>
        <v>-540000</v>
      </c>
      <c r="E22" s="17">
        <f t="shared" si="0"/>
        <v>1.9425439524356145E-2</v>
      </c>
    </row>
    <row r="23" spans="1:5" ht="15" customHeight="1" x14ac:dyDescent="0.25">
      <c r="A23" s="47" t="s">
        <v>47</v>
      </c>
      <c r="B23" s="51">
        <f>Step3_Lq_Coefs!D16</f>
        <v>-6.2198137492578808E-7</v>
      </c>
      <c r="C23" s="50" t="s">
        <v>184</v>
      </c>
      <c r="D23" s="80">
        <f>A6^2*B6^2</f>
        <v>360000</v>
      </c>
      <c r="E23" s="52">
        <f t="shared" si="0"/>
        <v>-0.22391329497328372</v>
      </c>
    </row>
    <row r="24" spans="1:5" ht="15" customHeight="1" x14ac:dyDescent="0.25">
      <c r="A24" s="47" t="s">
        <v>48</v>
      </c>
      <c r="B24" s="31">
        <f>Step3_Lq_Coefs!D17</f>
        <v>5.9060019763981786E-7</v>
      </c>
      <c r="C24" s="30" t="s">
        <v>185</v>
      </c>
      <c r="D24" s="72">
        <f>A6*B6^3</f>
        <v>-240000</v>
      </c>
      <c r="E24" s="17">
        <f t="shared" si="0"/>
        <v>-0.14174404743355629</v>
      </c>
    </row>
    <row r="25" spans="1:5" ht="15" customHeight="1" x14ac:dyDescent="0.25">
      <c r="A25" s="47" t="s">
        <v>49</v>
      </c>
      <c r="B25" s="51">
        <f>Step3_Lq_Coefs!D18</f>
        <v>-7.51949768625082E-7</v>
      </c>
      <c r="C25" s="50" t="s">
        <v>186</v>
      </c>
      <c r="D25" s="80">
        <f>B6^4</f>
        <v>160000</v>
      </c>
      <c r="E25" s="52">
        <f t="shared" si="0"/>
        <v>-0.12031196298001312</v>
      </c>
    </row>
    <row r="26" spans="1:5" ht="15" customHeight="1" x14ac:dyDescent="0.25">
      <c r="A26" s="33" t="s">
        <v>147</v>
      </c>
      <c r="B26" s="32"/>
      <c r="C26" s="32"/>
      <c r="D26" s="32"/>
      <c r="E26" s="34">
        <f>SUM(E11:E25)</f>
        <v>498.35578670798373</v>
      </c>
    </row>
  </sheetData>
  <mergeCells count="3">
    <mergeCell ref="A1:E1"/>
    <mergeCell ref="A2:E2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Raw_Data</vt:lpstr>
      <vt:lpstr>Step1_Features</vt:lpstr>
      <vt:lpstr>Step2_Ld_XtX</vt:lpstr>
      <vt:lpstr>Step3_Ld_Coefs</vt:lpstr>
      <vt:lpstr>Step4_Ld_Preds</vt:lpstr>
      <vt:lpstr>Step5_Ld_Formula</vt:lpstr>
      <vt:lpstr>Step2_Lq_XtX</vt:lpstr>
      <vt:lpstr>Step3_Lq_Coefs</vt:lpstr>
      <vt:lpstr>Step4_Lq_Preds</vt:lpstr>
      <vt:lpstr>Step5_Lq_Formula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Mastro</cp:lastModifiedBy>
  <cp:revision>0</cp:revision>
  <dcterms:created xsi:type="dcterms:W3CDTF">2026-07-01T08:41:05Z</dcterms:created>
  <dcterms:modified xsi:type="dcterms:W3CDTF">2026-07-01T09:13:33Z</dcterms:modified>
  <dc:language>en-US</dc:language>
</cp:coreProperties>
</file>